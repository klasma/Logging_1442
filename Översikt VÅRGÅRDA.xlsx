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46293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46293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46293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46293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7533-2026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46059</v>
      </c>
      <c r="E8" s="1" t="n">
        <v>46293</v>
      </c>
      <c r="F8" t="inlineStr">
        <is>
          <t>VÄSTRA GÖTALANDS LÄN</t>
        </is>
      </c>
      <c r="G8" t="inlineStr">
        <is>
          <t>VÅRGÅRDA</t>
        </is>
      </c>
      <c r="I8" t="n">
        <v>4.7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7533-2026 artfynd.xlsx", "A 7533-2026")</f>
        <v/>
      </c>
      <c r="X8">
        <f>HYPERLINK("https://klasma.github.io/Logging_1442/kartor/A 7533-2026 karta.png", "A 7533-2026")</f>
        <v/>
      </c>
      <c r="Y8">
        <f>HYPERLINK("https://klasma.github.io/Logging_1442/kartor_geotiff/A 7533-2026 georefererad karta.tif", "A 7533-2026")</f>
        <v/>
      </c>
      <c r="AA8">
        <f>HYPERLINK("https://klasma.github.io/Logging_1442/klagomål/A 7533-2026 FSC-klagomål.docx", "A 7533-2026")</f>
        <v/>
      </c>
      <c r="AB8">
        <f>HYPERLINK("https://klasma.github.io/Logging_1442/klagomålsmail/A 7533-2026 FSC-klagomål mail.docx", "A 7533-2026")</f>
        <v/>
      </c>
      <c r="AC8">
        <f>HYPERLINK("https://klasma.github.io/Logging_1442/tillsyn/A 7533-2026 tillsynsbegäran.docx", "A 7533-2026")</f>
        <v/>
      </c>
      <c r="AD8">
        <f>HYPERLINK("https://klasma.github.io/Logging_1442/tillsynsmail/A 7533-2026 tillsynsbegäran mail.docx", "A 7533-2026")</f>
        <v/>
      </c>
    </row>
    <row r="9" ht="15" customHeight="1">
      <c r="A9" t="inlineStr">
        <is>
          <t>A 8657-2026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46066</v>
      </c>
      <c r="E9" s="1" t="n">
        <v>46293</v>
      </c>
      <c r="F9" t="inlineStr">
        <is>
          <t>VÄSTRA GÖTALANDS LÄN</t>
        </is>
      </c>
      <c r="G9" t="inlineStr">
        <is>
          <t>VÅRGÅRDA</t>
        </is>
      </c>
      <c r="I9" t="n">
        <v>10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Blomkålssvamp</t>
        </is>
      </c>
      <c r="W9">
        <f>HYPERLINK("https://klasma.github.io/Logging_1442/artfynd/A 8657-2026 artfynd.xlsx", "A 8657-2026")</f>
        <v/>
      </c>
      <c r="X9">
        <f>HYPERLINK("https://klasma.github.io/Logging_1442/kartor/A 8657-2026 karta.png", "A 8657-2026")</f>
        <v/>
      </c>
      <c r="Y9">
        <f>HYPERLINK("https://klasma.github.io/Logging_1442/kartor_geotiff/A 8657-2026 georefererad karta.tif", "A 8657-2026")</f>
        <v/>
      </c>
      <c r="AA9">
        <f>HYPERLINK("https://klasma.github.io/Logging_1442/klagomål/A 8657-2026 FSC-klagomål.docx", "A 8657-2026")</f>
        <v/>
      </c>
      <c r="AB9">
        <f>HYPERLINK("https://klasma.github.io/Logging_1442/klagomålsmail/A 8657-2026 FSC-klagomål mail.docx", "A 8657-2026")</f>
        <v/>
      </c>
      <c r="AC9">
        <f>HYPERLINK("https://klasma.github.io/Logging_1442/tillsyn/A 8657-2026 tillsynsbegäran.docx", "A 8657-2026")</f>
        <v/>
      </c>
      <c r="AD9">
        <f>HYPERLINK("https://klasma.github.io/Logging_1442/tillsynsmail/A 8657-2026 tillsynsbegäran mail.docx", "A 8657-2026")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46293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46293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46293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46293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46293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46293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46293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46293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46293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46293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46293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46293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46293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46293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46293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46293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46293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46293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46293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46293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46293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46293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46293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46293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46293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46293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46293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46293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46293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46293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46293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46293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46293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46293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44662</v>
      </c>
      <c r="E46" s="1" t="n">
        <v>46293</v>
      </c>
      <c r="F46" t="inlineStr">
        <is>
          <t>VÄSTRA GÖTALANDS LÄN</t>
        </is>
      </c>
      <c r="G46" t="inlineStr">
        <is>
          <t>VÅRGÅRDA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46293</v>
      </c>
      <c r="F47" t="inlineStr">
        <is>
          <t>VÄSTRA GÖTALANDS LÄN</t>
        </is>
      </c>
      <c r="G47" t="inlineStr">
        <is>
          <t>VÅRGÅRDA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46293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46293</v>
      </c>
      <c r="F49" t="inlineStr">
        <is>
          <t>VÄSTRA GÖTALANDS LÄN</t>
        </is>
      </c>
      <c r="G49" t="inlineStr">
        <is>
          <t>VÅRGÅRDA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46293</v>
      </c>
      <c r="F50" t="inlineStr">
        <is>
          <t>VÄSTRA GÖTALANDS LÄN</t>
        </is>
      </c>
      <c r="G50" t="inlineStr">
        <is>
          <t>VÅRGÅRDA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46293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46293</v>
      </c>
      <c r="F52" t="inlineStr">
        <is>
          <t>VÄSTRA GÖTALANDS LÄN</t>
        </is>
      </c>
      <c r="G52" t="inlineStr">
        <is>
          <t>VÅRGÅRDA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46293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46293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46293</v>
      </c>
      <c r="F55" t="inlineStr">
        <is>
          <t>VÄSTRA GÖTALANDS LÄN</t>
        </is>
      </c>
      <c r="G55" t="inlineStr">
        <is>
          <t>VÅRGÅRDA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45772</v>
      </c>
      <c r="E56" s="1" t="n">
        <v>46293</v>
      </c>
      <c r="F56" t="inlineStr">
        <is>
          <t>VÄSTRA GÖTALANDS LÄN</t>
        </is>
      </c>
      <c r="G56" t="inlineStr">
        <is>
          <t>VÅRGÅRDA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46293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46293</v>
      </c>
      <c r="F58" t="inlineStr">
        <is>
          <t>VÄSTRA GÖTALANDS LÄN</t>
        </is>
      </c>
      <c r="G58" t="inlineStr">
        <is>
          <t>VÅRGÅRDA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46293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62535-2023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45268</v>
      </c>
      <c r="E60" s="1" t="n">
        <v>46293</v>
      </c>
      <c r="F60" t="inlineStr">
        <is>
          <t>VÄSTRA GÖTALANDS LÄN</t>
        </is>
      </c>
      <c r="G60" t="inlineStr">
        <is>
          <t>VÅRGÅRDA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46293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65946-2021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46293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46293</v>
      </c>
      <c r="F63" t="inlineStr">
        <is>
          <t>VÄSTRA GÖTALANDS LÄN</t>
        </is>
      </c>
      <c r="G63" t="inlineStr">
        <is>
          <t>VÅRGÅRDA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46293</v>
      </c>
      <c r="F64" t="inlineStr">
        <is>
          <t>VÄSTRA GÖTALANDS LÄN</t>
        </is>
      </c>
      <c r="G64" t="inlineStr">
        <is>
          <t>VÅRGÅRDA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46293</v>
      </c>
      <c r="F65" t="inlineStr">
        <is>
          <t>VÄSTRA GÖTALANDS LÄN</t>
        </is>
      </c>
      <c r="G65" t="inlineStr">
        <is>
          <t>VÅRGÅRDA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46293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46293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23950-2025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46293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46293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46293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46293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44920</v>
      </c>
      <c r="E72" s="1" t="n">
        <v>46293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46293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46293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46032</v>
      </c>
      <c r="E75" s="1" t="n">
        <v>46293</v>
      </c>
      <c r="F75" t="inlineStr">
        <is>
          <t>VÄSTRA GÖTALANDS LÄN</t>
        </is>
      </c>
      <c r="G75" t="inlineStr">
        <is>
          <t>VÅRGÅRDA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46293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46293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46032</v>
      </c>
      <c r="E78" s="1" t="n">
        <v>46293</v>
      </c>
      <c r="F78" t="inlineStr">
        <is>
          <t>VÄSTRA GÖTALANDS LÄN</t>
        </is>
      </c>
      <c r="G78" t="inlineStr">
        <is>
          <t>VÅRGÅRDA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45972</v>
      </c>
      <c r="E79" s="1" t="n">
        <v>46293</v>
      </c>
      <c r="F79" t="inlineStr">
        <is>
          <t>VÄSTRA GÖTALANDS LÄN</t>
        </is>
      </c>
      <c r="G79" t="inlineStr">
        <is>
          <t>VÅRGÅRDA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46293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25324-2025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45800</v>
      </c>
      <c r="E81" s="1" t="n">
        <v>46293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46035</v>
      </c>
      <c r="E82" s="1" t="n">
        <v>46293</v>
      </c>
      <c r="F82" t="inlineStr">
        <is>
          <t>VÄSTRA GÖTALANDS LÄN</t>
        </is>
      </c>
      <c r="G82" t="inlineStr">
        <is>
          <t>VÅRGÅRDA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46293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46293</v>
      </c>
      <c r="F84" t="inlineStr">
        <is>
          <t>VÄSTRA GÖTALANDS LÄN</t>
        </is>
      </c>
      <c r="G84" t="inlineStr">
        <is>
          <t>VÅRGÅRDA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46293</v>
      </c>
      <c r="F85" t="inlineStr">
        <is>
          <t>VÄSTRA GÖTALANDS LÄN</t>
        </is>
      </c>
      <c r="G85" t="inlineStr">
        <is>
          <t>VÅRGÅRDA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46293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46293</v>
      </c>
      <c r="F87" t="inlineStr">
        <is>
          <t>VÄSTRA GÖTALANDS LÄN</t>
        </is>
      </c>
      <c r="G87" t="inlineStr">
        <is>
          <t>VÅRGÅRDA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46293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46293</v>
      </c>
      <c r="F89" t="inlineStr">
        <is>
          <t>VÄSTRA GÖTALANDS LÄN</t>
        </is>
      </c>
      <c r="G89" t="inlineStr">
        <is>
          <t>VÅRGÅRDA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46293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46293</v>
      </c>
      <c r="F91" t="inlineStr">
        <is>
          <t>VÄSTRA GÖTALANDS LÄN</t>
        </is>
      </c>
      <c r="G91" t="inlineStr">
        <is>
          <t>VÅRGÅRDA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46293</v>
      </c>
      <c r="F92" t="inlineStr">
        <is>
          <t>VÄSTRA GÖTALANDS LÄN</t>
        </is>
      </c>
      <c r="G92" t="inlineStr">
        <is>
          <t>VÅRGÅRDA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46293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46293</v>
      </c>
      <c r="F94" t="inlineStr">
        <is>
          <t>VÄSTRA GÖTALANDS LÄN</t>
        </is>
      </c>
      <c r="G94" t="inlineStr">
        <is>
          <t>VÅRGÅRDA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46293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45852</v>
      </c>
      <c r="E96" s="1" t="n">
        <v>46293</v>
      </c>
      <c r="F96" t="inlineStr">
        <is>
          <t>VÄSTRA GÖTALANDS LÄN</t>
        </is>
      </c>
      <c r="G96" t="inlineStr">
        <is>
          <t>VÅRGÅRDA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46293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46293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46293</v>
      </c>
      <c r="F99" t="inlineStr">
        <is>
          <t>VÄSTRA GÖTALANDS LÄN</t>
        </is>
      </c>
      <c r="G99" t="inlineStr">
        <is>
          <t>VÅRGÅRDA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46293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46293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46051</v>
      </c>
      <c r="E102" s="1" t="n">
        <v>46293</v>
      </c>
      <c r="F102" t="inlineStr">
        <is>
          <t>VÄSTRA GÖTALANDS LÄN</t>
        </is>
      </c>
      <c r="G102" t="inlineStr">
        <is>
          <t>VÅRGÅRDA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46293</v>
      </c>
      <c r="F103" t="inlineStr">
        <is>
          <t>VÄSTRA GÖTALANDS LÄN</t>
        </is>
      </c>
      <c r="G103" t="inlineStr">
        <is>
          <t>VÅRGÅRDA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46293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46293</v>
      </c>
      <c r="F105" t="inlineStr">
        <is>
          <t>VÄSTRA GÖTALANDS LÄN</t>
        </is>
      </c>
      <c r="G105" t="inlineStr">
        <is>
          <t>VÅRGÅRDA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46293</v>
      </c>
      <c r="F106" t="inlineStr">
        <is>
          <t>VÄSTRA GÖTALANDS LÄN</t>
        </is>
      </c>
      <c r="G106" t="inlineStr">
        <is>
          <t>VÅRGÅRDA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46293</v>
      </c>
      <c r="F107" t="inlineStr">
        <is>
          <t>VÄSTRA GÖTALANDS LÄN</t>
        </is>
      </c>
      <c r="G107" t="inlineStr">
        <is>
          <t>VÅRGÅRDA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46293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46293</v>
      </c>
      <c r="F109" t="inlineStr">
        <is>
          <t>VÄSTRA GÖTALANDS LÄN</t>
        </is>
      </c>
      <c r="G109" t="inlineStr">
        <is>
          <t>VÅRGÅRDA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45692</v>
      </c>
      <c r="E110" s="1" t="n">
        <v>46293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46293</v>
      </c>
      <c r="F111" t="inlineStr">
        <is>
          <t>VÄSTRA GÖTALANDS LÄN</t>
        </is>
      </c>
      <c r="G111" t="inlineStr">
        <is>
          <t>VÅRGÅRDA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46293</v>
      </c>
      <c r="F112" t="inlineStr">
        <is>
          <t>VÄSTRA GÖTALANDS LÄN</t>
        </is>
      </c>
      <c r="G112" t="inlineStr">
        <is>
          <t>VÅRGÅRDA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46293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46293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46293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46293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46293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46293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9305-2026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46070</v>
      </c>
      <c r="E119" s="1" t="n">
        <v>46293</v>
      </c>
      <c r="F119" t="inlineStr">
        <is>
          <t>VÄSTRA GÖTALANDS LÄN</t>
        </is>
      </c>
      <c r="G119" t="inlineStr">
        <is>
          <t>VÅRGÅRDA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9261-2026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46070</v>
      </c>
      <c r="E120" s="1" t="n">
        <v>46293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9301-2026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46070</v>
      </c>
      <c r="E121" s="1" t="n">
        <v>46293</v>
      </c>
      <c r="F121" t="inlineStr">
        <is>
          <t>VÄSTRA GÖTALANDS LÄN</t>
        </is>
      </c>
      <c r="G121" t="inlineStr">
        <is>
          <t>VÅRGÅRDA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46293</v>
      </c>
      <c r="F122" t="inlineStr">
        <is>
          <t>VÄSTRA GÖTALANDS LÄN</t>
        </is>
      </c>
      <c r="G122" t="inlineStr">
        <is>
          <t>VÅRGÅRDA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46293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9297-2026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46293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46293</v>
      </c>
      <c r="F125" t="inlineStr">
        <is>
          <t>VÄSTRA GÖTALANDS LÄN</t>
        </is>
      </c>
      <c r="G125" t="inlineStr">
        <is>
          <t>VÅRGÅRDA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46293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46293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46293</v>
      </c>
      <c r="F128" t="inlineStr">
        <is>
          <t>VÄSTRA GÖTALANDS LÄN</t>
        </is>
      </c>
      <c r="G128" t="inlineStr">
        <is>
          <t>VÅRGÅRDA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45927</v>
      </c>
      <c r="E129" s="1" t="n">
        <v>46293</v>
      </c>
      <c r="F129" t="inlineStr">
        <is>
          <t>VÄSTRA GÖTALANDS LÄN</t>
        </is>
      </c>
      <c r="G129" t="inlineStr">
        <is>
          <t>VÅRGÅRDA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46293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44951</v>
      </c>
      <c r="E131" s="1" t="n">
        <v>46293</v>
      </c>
      <c r="F131" t="inlineStr">
        <is>
          <t>VÄSTRA GÖTALANDS LÄN</t>
        </is>
      </c>
      <c r="G131" t="inlineStr">
        <is>
          <t>VÅRGÅRDA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59325-2023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45253</v>
      </c>
      <c r="E132" s="1" t="n">
        <v>46293</v>
      </c>
      <c r="F132" t="inlineStr">
        <is>
          <t>VÄSTRA GÖTALANDS LÄN</t>
        </is>
      </c>
      <c r="G132" t="inlineStr">
        <is>
          <t>VÅRGÅRDA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46293</v>
      </c>
      <c r="F133" t="inlineStr">
        <is>
          <t>VÄSTRA GÖTALANDS LÄN</t>
        </is>
      </c>
      <c r="G133" t="inlineStr">
        <is>
          <t>VÅRGÅRDA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46293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46293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46086</v>
      </c>
      <c r="E136" s="1" t="n">
        <v>46293</v>
      </c>
      <c r="F136" t="inlineStr">
        <is>
          <t>VÄSTRA GÖTALANDS LÄN</t>
        </is>
      </c>
      <c r="G136" t="inlineStr">
        <is>
          <t>VÅRGÅRDA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46293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46293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Kyrkan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46293</v>
      </c>
      <c r="F139" t="inlineStr">
        <is>
          <t>VÄSTRA GÖTALANDS LÄN</t>
        </is>
      </c>
      <c r="G139" t="inlineStr">
        <is>
          <t>VÅRGÅRDA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46293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46293</v>
      </c>
      <c r="F141" t="inlineStr">
        <is>
          <t>VÄSTRA GÖTALANDS LÄN</t>
        </is>
      </c>
      <c r="G141" t="inlineStr">
        <is>
          <t>VÅRGÅRDA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46293</v>
      </c>
      <c r="F142" t="inlineStr">
        <is>
          <t>VÄSTRA GÖTALANDS LÄN</t>
        </is>
      </c>
      <c r="G142" t="inlineStr">
        <is>
          <t>VÅRGÅRDA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46293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46293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46293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Sveaskog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59381-2022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44905</v>
      </c>
      <c r="E146" s="1" t="n">
        <v>46293</v>
      </c>
      <c r="F146" t="inlineStr">
        <is>
          <t>VÄSTRA GÖTALANDS LÄN</t>
        </is>
      </c>
      <c r="G146" t="inlineStr">
        <is>
          <t>VÅRGÅRDA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46293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46293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44725</v>
      </c>
      <c r="E149" s="1" t="n">
        <v>46293</v>
      </c>
      <c r="F149" t="inlineStr">
        <is>
          <t>VÄSTRA GÖTALANDS LÄN</t>
        </is>
      </c>
      <c r="G149" t="inlineStr">
        <is>
          <t>VÅRGÅRDA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46293</v>
      </c>
      <c r="F150" t="inlineStr">
        <is>
          <t>VÄSTRA GÖTALANDS LÄN</t>
        </is>
      </c>
      <c r="G150" t="inlineStr">
        <is>
          <t>VÅRGÅRDA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46293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46293</v>
      </c>
      <c r="F152" t="inlineStr">
        <is>
          <t>VÄSTRA GÖTALANDS LÄN</t>
        </is>
      </c>
      <c r="G152" t="inlineStr">
        <is>
          <t>VÅRGÅRDA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46293</v>
      </c>
      <c r="F153" t="inlineStr">
        <is>
          <t>VÄSTRA GÖTALANDS LÄN</t>
        </is>
      </c>
      <c r="G153" t="inlineStr">
        <is>
          <t>VÅRGÅRDA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46293</v>
      </c>
      <c r="F154" t="inlineStr">
        <is>
          <t>VÄSTRA GÖTALANDS LÄN</t>
        </is>
      </c>
      <c r="G154" t="inlineStr">
        <is>
          <t>VÅRGÅRDA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46293</v>
      </c>
      <c r="F155" t="inlineStr">
        <is>
          <t>VÄSTRA GÖTALANDS LÄN</t>
        </is>
      </c>
      <c r="G155" t="inlineStr">
        <is>
          <t>VÅRGÅRDA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46293</v>
      </c>
      <c r="F156" t="inlineStr">
        <is>
          <t>VÄSTRA GÖTALANDS LÄN</t>
        </is>
      </c>
      <c r="G156" t="inlineStr">
        <is>
          <t>VÅRGÅRDA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46293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46293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46293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46293</v>
      </c>
      <c r="F160" t="inlineStr">
        <is>
          <t>VÄSTRA GÖTALANDS LÄN</t>
        </is>
      </c>
      <c r="G160" t="inlineStr">
        <is>
          <t>VÅRGÅRDA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46293</v>
      </c>
      <c r="F161" t="inlineStr">
        <is>
          <t>VÄSTRA GÖTALANDS LÄN</t>
        </is>
      </c>
      <c r="G161" t="inlineStr">
        <is>
          <t>VÅRGÅRDA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44713</v>
      </c>
      <c r="E162" s="1" t="n">
        <v>46293</v>
      </c>
      <c r="F162" t="inlineStr">
        <is>
          <t>VÄSTRA GÖTALANDS LÄN</t>
        </is>
      </c>
      <c r="G162" t="inlineStr">
        <is>
          <t>VÅRGÅRDA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46293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46293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45565</v>
      </c>
      <c r="E165" s="1" t="n">
        <v>46293</v>
      </c>
      <c r="F165" t="inlineStr">
        <is>
          <t>VÄSTRA GÖTALANDS LÄN</t>
        </is>
      </c>
      <c r="G165" t="inlineStr">
        <is>
          <t>VÅRGÅRDA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46293</v>
      </c>
      <c r="F166" t="inlineStr">
        <is>
          <t>VÄSTRA GÖTALANDS LÄN</t>
        </is>
      </c>
      <c r="G166" t="inlineStr">
        <is>
          <t>VÅRGÅRDA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46293</v>
      </c>
      <c r="F167" t="inlineStr">
        <is>
          <t>VÄSTRA GÖTALANDS LÄN</t>
        </is>
      </c>
      <c r="G167" t="inlineStr">
        <is>
          <t>VÅRGÅRDA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46293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46293</v>
      </c>
      <c r="F169" t="inlineStr">
        <is>
          <t>VÄSTRA GÖTALANDS LÄN</t>
        </is>
      </c>
      <c r="G169" t="inlineStr">
        <is>
          <t>VÅRGÅRDA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46293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46293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46293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45968</v>
      </c>
      <c r="E173" s="1" t="n">
        <v>46293</v>
      </c>
      <c r="F173" t="inlineStr">
        <is>
          <t>VÄSTRA GÖTALANDS LÄN</t>
        </is>
      </c>
      <c r="G173" t="inlineStr">
        <is>
          <t>VÅRGÅRDA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46293</v>
      </c>
      <c r="F174" t="inlineStr">
        <is>
          <t>VÄSTRA GÖTALANDS LÄN</t>
        </is>
      </c>
      <c r="G174" t="inlineStr">
        <is>
          <t>VÅRGÅRDA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46293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46293</v>
      </c>
      <c r="F176" t="inlineStr">
        <is>
          <t>VÄSTRA GÖTALANDS LÄN</t>
        </is>
      </c>
      <c r="G176" t="inlineStr">
        <is>
          <t>VÅRGÅRDA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46293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46293</v>
      </c>
      <c r="F178" t="inlineStr">
        <is>
          <t>VÄSTRA GÖTALANDS LÄN</t>
        </is>
      </c>
      <c r="G178" t="inlineStr">
        <is>
          <t>VÅRGÅRDA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46293</v>
      </c>
      <c r="F179" t="inlineStr">
        <is>
          <t>VÄSTRA GÖTALANDS LÄN</t>
        </is>
      </c>
      <c r="G179" t="inlineStr">
        <is>
          <t>VÅRGÅRDA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46126</v>
      </c>
      <c r="E180" s="1" t="n">
        <v>46293</v>
      </c>
      <c r="F180" t="inlineStr">
        <is>
          <t>VÄSTRA GÖTALANDS LÄN</t>
        </is>
      </c>
      <c r="G180" t="inlineStr">
        <is>
          <t>VÅRGÅRDA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45616</v>
      </c>
      <c r="E181" s="1" t="n">
        <v>46293</v>
      </c>
      <c r="F181" t="inlineStr">
        <is>
          <t>VÄSTRA GÖTALANDS LÄN</t>
        </is>
      </c>
      <c r="G181" t="inlineStr">
        <is>
          <t>VÅRGÅRDA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46293</v>
      </c>
      <c r="F182" t="inlineStr">
        <is>
          <t>VÄSTRA GÖTALANDS LÄN</t>
        </is>
      </c>
      <c r="G182" t="inlineStr">
        <is>
          <t>VÅRGÅRDA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46293</v>
      </c>
      <c r="F183" t="inlineStr">
        <is>
          <t>VÄSTRA GÖTALANDS LÄN</t>
        </is>
      </c>
      <c r="G183" t="inlineStr">
        <is>
          <t>VÅRGÅRDA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46293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46293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46293</v>
      </c>
      <c r="F186" t="inlineStr">
        <is>
          <t>VÄSTRA GÖTALANDS LÄN</t>
        </is>
      </c>
      <c r="G186" t="inlineStr">
        <is>
          <t>VÅRGÅRDA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46293</v>
      </c>
      <c r="F187" t="inlineStr">
        <is>
          <t>VÄSTRA GÖTALANDS LÄN</t>
        </is>
      </c>
      <c r="G187" t="inlineStr">
        <is>
          <t>VÅRGÅRDA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46293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46293</v>
      </c>
      <c r="F189" t="inlineStr">
        <is>
          <t>VÄSTRA GÖTALANDS LÄN</t>
        </is>
      </c>
      <c r="G189" t="inlineStr">
        <is>
          <t>VÅRGÅRDA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46293</v>
      </c>
      <c r="F190" t="inlineStr">
        <is>
          <t>VÄSTRA GÖTALANDS LÄN</t>
        </is>
      </c>
      <c r="G190" t="inlineStr">
        <is>
          <t>VÅRGÅRDA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46293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46293</v>
      </c>
      <c r="F192" t="inlineStr">
        <is>
          <t>VÄSTRA GÖTALANDS LÄN</t>
        </is>
      </c>
      <c r="G192" t="inlineStr">
        <is>
          <t>VÅRGÅRDA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46293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46293</v>
      </c>
      <c r="F194" t="inlineStr">
        <is>
          <t>VÄSTRA GÖTALANDS LÄN</t>
        </is>
      </c>
      <c r="G194" t="inlineStr">
        <is>
          <t>VÅRGÅRDA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46293</v>
      </c>
      <c r="F195" t="inlineStr">
        <is>
          <t>VÄSTRA GÖTALANDS LÄN</t>
        </is>
      </c>
      <c r="G195" t="inlineStr">
        <is>
          <t>VÅRGÅRDA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46293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46293</v>
      </c>
      <c r="F197" t="inlineStr">
        <is>
          <t>VÄSTRA GÖTALANDS LÄN</t>
        </is>
      </c>
      <c r="G197" t="inlineStr">
        <is>
          <t>VÅRGÅRDA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46293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46293</v>
      </c>
      <c r="F199" t="inlineStr">
        <is>
          <t>VÄSTRA GÖTALANDS LÄN</t>
        </is>
      </c>
      <c r="G199" t="inlineStr">
        <is>
          <t>VÅRGÅRDA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44908</v>
      </c>
      <c r="E200" s="1" t="n">
        <v>46293</v>
      </c>
      <c r="F200" t="inlineStr">
        <is>
          <t>VÄSTRA GÖTALANDS LÄN</t>
        </is>
      </c>
      <c r="G200" t="inlineStr">
        <is>
          <t>VÅRGÅRDA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46293</v>
      </c>
      <c r="F201" t="inlineStr">
        <is>
          <t>VÄSTRA GÖTALANDS LÄN</t>
        </is>
      </c>
      <c r="G201" t="inlineStr">
        <is>
          <t>VÅRGÅRDA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46293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45774</v>
      </c>
      <c r="E203" s="1" t="n">
        <v>46293</v>
      </c>
      <c r="F203" t="inlineStr">
        <is>
          <t>VÄSTRA GÖTALANDS LÄN</t>
        </is>
      </c>
      <c r="G203" t="inlineStr">
        <is>
          <t>VÅRGÅRDA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46293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Kyrkan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46293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46293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46293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46293</v>
      </c>
      <c r="F208" t="inlineStr">
        <is>
          <t>VÄSTRA GÖTALANDS LÄN</t>
        </is>
      </c>
      <c r="G208" t="inlineStr">
        <is>
          <t>VÅRGÅRDA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46293</v>
      </c>
      <c r="F209" t="inlineStr">
        <is>
          <t>VÄSTRA GÖTALANDS LÄN</t>
        </is>
      </c>
      <c r="G209" t="inlineStr">
        <is>
          <t>VÅRGÅRDA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46293</v>
      </c>
      <c r="F210" t="inlineStr">
        <is>
          <t>VÄSTRA GÖTALANDS LÄN</t>
        </is>
      </c>
      <c r="G210" t="inlineStr">
        <is>
          <t>VÅRGÅRDA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46293</v>
      </c>
      <c r="F211" t="inlineStr">
        <is>
          <t>VÄSTRA GÖTALANDS LÄN</t>
        </is>
      </c>
      <c r="G211" t="inlineStr">
        <is>
          <t>VÅRGÅRDA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46293</v>
      </c>
      <c r="F212" t="inlineStr">
        <is>
          <t>VÄSTRA GÖTALANDS LÄN</t>
        </is>
      </c>
      <c r="G212" t="inlineStr">
        <is>
          <t>VÅRGÅRDA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46293</v>
      </c>
      <c r="F213" t="inlineStr">
        <is>
          <t>VÄSTRA GÖTALANDS LÄN</t>
        </is>
      </c>
      <c r="G213" t="inlineStr">
        <is>
          <t>VÅRGÅRDA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45987</v>
      </c>
      <c r="E214" s="1" t="n">
        <v>46293</v>
      </c>
      <c r="F214" t="inlineStr">
        <is>
          <t>VÄSTRA GÖTALANDS LÄN</t>
        </is>
      </c>
      <c r="G214" t="inlineStr">
        <is>
          <t>VÅRGÅRDA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45703</v>
      </c>
      <c r="E215" s="1" t="n">
        <v>46293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46293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46293</v>
      </c>
      <c r="F217" t="inlineStr">
        <is>
          <t>VÄSTRA GÖTALANDS LÄN</t>
        </is>
      </c>
      <c r="G217" t="inlineStr">
        <is>
          <t>VÅRGÅRDA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44943</v>
      </c>
      <c r="E218" s="1" t="n">
        <v>46293</v>
      </c>
      <c r="F218" t="inlineStr">
        <is>
          <t>VÄSTRA GÖTALANDS LÄN</t>
        </is>
      </c>
      <c r="G218" t="inlineStr">
        <is>
          <t>VÅRGÅRDA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46293</v>
      </c>
      <c r="F219" t="inlineStr">
        <is>
          <t>VÄSTRA GÖTALANDS LÄN</t>
        </is>
      </c>
      <c r="G219" t="inlineStr">
        <is>
          <t>VÅRGÅRDA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46293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46293</v>
      </c>
      <c r="F221" t="inlineStr">
        <is>
          <t>VÄSTRA GÖTALANDS LÄN</t>
        </is>
      </c>
      <c r="G221" t="inlineStr">
        <is>
          <t>VÅRGÅRDA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46293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45057</v>
      </c>
      <c r="E223" s="1" t="n">
        <v>46293</v>
      </c>
      <c r="F223" t="inlineStr">
        <is>
          <t>VÄSTRA GÖTALANDS LÄN</t>
        </is>
      </c>
      <c r="G223" t="inlineStr">
        <is>
          <t>VÅRGÅRDA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46293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46293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46293</v>
      </c>
      <c r="F226" t="inlineStr">
        <is>
          <t>VÄSTRA GÖTALANDS LÄN</t>
        </is>
      </c>
      <c r="G226" t="inlineStr">
        <is>
          <t>VÅRGÅRDA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46293</v>
      </c>
      <c r="F227" t="inlineStr">
        <is>
          <t>VÄSTRA GÖTALANDS LÄN</t>
        </is>
      </c>
      <c r="G227" t="inlineStr">
        <is>
          <t>VÅRGÅRDA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34133-2022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44791</v>
      </c>
      <c r="E228" s="1" t="n">
        <v>46293</v>
      </c>
      <c r="F228" t="inlineStr">
        <is>
          <t>VÄSTRA GÖTALANDS LÄN</t>
        </is>
      </c>
      <c r="G228" t="inlineStr">
        <is>
          <t>VÅRGÅRDA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46293</v>
      </c>
      <c r="F229" t="inlineStr">
        <is>
          <t>VÄSTRA GÖTALANDS LÄN</t>
        </is>
      </c>
      <c r="G229" t="inlineStr">
        <is>
          <t>VÅRGÅRDA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45351</v>
      </c>
      <c r="E230" s="1" t="n">
        <v>46293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45363</v>
      </c>
      <c r="E231" s="1" t="n">
        <v>46293</v>
      </c>
      <c r="F231" t="inlineStr">
        <is>
          <t>VÄSTRA GÖTALANDS LÄN</t>
        </is>
      </c>
      <c r="G231" t="inlineStr">
        <is>
          <t>VÅRGÅRDA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45573</v>
      </c>
      <c r="E232" s="1" t="n">
        <v>46293</v>
      </c>
      <c r="F232" t="inlineStr">
        <is>
          <t>VÄSTRA GÖTALANDS LÄN</t>
        </is>
      </c>
      <c r="G232" t="inlineStr">
        <is>
          <t>VÅRGÅRDA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44510</v>
      </c>
      <c r="E233" s="1" t="n">
        <v>46293</v>
      </c>
      <c r="F233" t="inlineStr">
        <is>
          <t>VÄSTRA GÖTALANDS LÄN</t>
        </is>
      </c>
      <c r="G233" t="inlineStr">
        <is>
          <t>VÅRGÅRDA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45374</v>
      </c>
      <c r="E234" s="1" t="n">
        <v>46293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45375</v>
      </c>
      <c r="E235" s="1" t="n">
        <v>46293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64386-2021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46293</v>
      </c>
      <c r="F236" t="inlineStr">
        <is>
          <t>VÄSTRA GÖTALANDS LÄN</t>
        </is>
      </c>
      <c r="G236" t="inlineStr">
        <is>
          <t>VÅRGÅRDA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45859</v>
      </c>
      <c r="E237" s="1" t="n">
        <v>46293</v>
      </c>
      <c r="F237" t="inlineStr">
        <is>
          <t>VÄSTRA GÖTALANDS LÄN</t>
        </is>
      </c>
      <c r="G237" t="inlineStr">
        <is>
          <t>VÅRGÅRDA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46293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46293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46293</v>
      </c>
      <c r="F240" t="inlineStr">
        <is>
          <t>VÄSTRA GÖTALANDS LÄN</t>
        </is>
      </c>
      <c r="G240" t="inlineStr">
        <is>
          <t>VÅRGÅRDA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46293</v>
      </c>
      <c r="F241" t="inlineStr">
        <is>
          <t>VÄSTRA GÖTALANDS LÄN</t>
        </is>
      </c>
      <c r="G241" t="inlineStr">
        <is>
          <t>VÅRGÅRDA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46293</v>
      </c>
      <c r="F242" t="inlineStr">
        <is>
          <t>VÄSTRA GÖTALANDS LÄN</t>
        </is>
      </c>
      <c r="G242" t="inlineStr">
        <is>
          <t>VÅRGÅRDA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46293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46293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46293</v>
      </c>
      <c r="F245" t="inlineStr">
        <is>
          <t>VÄSTRA GÖTALANDS LÄN</t>
        </is>
      </c>
      <c r="G245" t="inlineStr">
        <is>
          <t>VÅRGÅRDA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46293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46293</v>
      </c>
      <c r="F247" t="inlineStr">
        <is>
          <t>VÄSTRA GÖTALANDS LÄN</t>
        </is>
      </c>
      <c r="G247" t="inlineStr">
        <is>
          <t>VÅRGÅRDA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46293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46293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46293</v>
      </c>
      <c r="F250" t="inlineStr">
        <is>
          <t>VÄSTRA GÖTALANDS LÄN</t>
        </is>
      </c>
      <c r="G250" t="inlineStr">
        <is>
          <t>VÅRGÅRDA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46293</v>
      </c>
      <c r="F251" t="inlineStr">
        <is>
          <t>VÄSTRA GÖTALANDS LÄN</t>
        </is>
      </c>
      <c r="G251" t="inlineStr">
        <is>
          <t>VÅRGÅRDA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46293</v>
      </c>
      <c r="F252" t="inlineStr">
        <is>
          <t>VÄSTRA GÖTALANDS LÄN</t>
        </is>
      </c>
      <c r="G252" t="inlineStr">
        <is>
          <t>VÅRGÅRDA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46293</v>
      </c>
      <c r="F253" t="inlineStr">
        <is>
          <t>VÄSTRA GÖTALANDS LÄN</t>
        </is>
      </c>
      <c r="G253" t="inlineStr">
        <is>
          <t>VÅRGÅRDA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66386-2021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44518</v>
      </c>
      <c r="E254" s="1" t="n">
        <v>46293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46293</v>
      </c>
      <c r="F255" t="inlineStr">
        <is>
          <t>VÄSTRA GÖTALANDS LÄN</t>
        </is>
      </c>
      <c r="G255" t="inlineStr">
        <is>
          <t>VÅRGÅRDA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46293</v>
      </c>
      <c r="F256" t="inlineStr">
        <is>
          <t>VÄSTRA GÖTALANDS LÄN</t>
        </is>
      </c>
      <c r="G256" t="inlineStr">
        <is>
          <t>VÅRGÅRDA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46293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46293</v>
      </c>
      <c r="F258" t="inlineStr">
        <is>
          <t>VÄSTRA GÖTALANDS LÄN</t>
        </is>
      </c>
      <c r="G258" t="inlineStr">
        <is>
          <t>VÅRGÅRDA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29612-2026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46199</v>
      </c>
      <c r="E259" s="1" t="n">
        <v>46293</v>
      </c>
      <c r="F259" t="inlineStr">
        <is>
          <t>VÄSTRA GÖTALANDS LÄN</t>
        </is>
      </c>
      <c r="G259" t="inlineStr">
        <is>
          <t>VÅRGÅRDA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46293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46293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Kommuner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46293</v>
      </c>
      <c r="F262" t="inlineStr">
        <is>
          <t>VÄSTRA GÖTALANDS LÄN</t>
        </is>
      </c>
      <c r="G262" t="inlineStr">
        <is>
          <t>VÅRGÅRDA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46205</v>
      </c>
      <c r="E263" s="1" t="n">
        <v>46293</v>
      </c>
      <c r="F263" t="inlineStr">
        <is>
          <t>VÄSTRA GÖTALANDS LÄN</t>
        </is>
      </c>
      <c r="G263" t="inlineStr">
        <is>
          <t>VÅRGÅRDA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46293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46293</v>
      </c>
      <c r="F265" t="inlineStr">
        <is>
          <t>VÄSTRA GÖTALANDS LÄN</t>
        </is>
      </c>
      <c r="G265" t="inlineStr">
        <is>
          <t>VÅRGÅRDA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46293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45906</v>
      </c>
      <c r="E267" s="1" t="n">
        <v>46293</v>
      </c>
      <c r="F267" t="inlineStr">
        <is>
          <t>VÄSTRA GÖTALANDS LÄN</t>
        </is>
      </c>
      <c r="G267" t="inlineStr">
        <is>
          <t>VÅRGÅRDA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46252</v>
      </c>
      <c r="E268" s="1" t="n">
        <v>46293</v>
      </c>
      <c r="F268" t="inlineStr">
        <is>
          <t>VÄSTRA GÖTALANDS LÄN</t>
        </is>
      </c>
      <c r="G268" t="inlineStr">
        <is>
          <t>VÅRGÅRDA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44655</v>
      </c>
      <c r="E269" s="1" t="n">
        <v>46293</v>
      </c>
      <c r="F269" t="inlineStr">
        <is>
          <t>VÄSTRA GÖTALANDS LÄN</t>
        </is>
      </c>
      <c r="G269" t="inlineStr">
        <is>
          <t>VÅRGÅRDA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46293</v>
      </c>
      <c r="F270" t="inlineStr">
        <is>
          <t>VÄSTRA GÖTALANDS LÄN</t>
        </is>
      </c>
      <c r="G270" t="inlineStr">
        <is>
          <t>VÅRGÅRDA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45233</v>
      </c>
      <c r="E271" s="1" t="n">
        <v>46293</v>
      </c>
      <c r="F271" t="inlineStr">
        <is>
          <t>VÄSTRA GÖTALANDS LÄN</t>
        </is>
      </c>
      <c r="G271" t="inlineStr">
        <is>
          <t>VÅRGÅRDA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46293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46293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46293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35075-2026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46259</v>
      </c>
      <c r="E275" s="1" t="n">
        <v>46293</v>
      </c>
      <c r="F275" t="inlineStr">
        <is>
          <t>VÄSTRA GÖTALANDS LÄN</t>
        </is>
      </c>
      <c r="G275" t="inlineStr">
        <is>
          <t>VÅRGÅRDA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46293</v>
      </c>
      <c r="F276" t="inlineStr">
        <is>
          <t>VÄSTRA GÖTALANDS LÄN</t>
        </is>
      </c>
      <c r="G276" t="inlineStr">
        <is>
          <t>VÅRGÅRDA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46293</v>
      </c>
      <c r="F277" t="inlineStr">
        <is>
          <t>VÄSTRA GÖTALANDS LÄN</t>
        </is>
      </c>
      <c r="G277" t="inlineStr">
        <is>
          <t>VÅRGÅRDA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46293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46293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46293</v>
      </c>
      <c r="F280" t="inlineStr">
        <is>
          <t>VÄSTRA GÖTALANDS LÄN</t>
        </is>
      </c>
      <c r="G280" t="inlineStr">
        <is>
          <t>VÅRGÅRDA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46293</v>
      </c>
      <c r="F281" t="inlineStr">
        <is>
          <t>VÄSTRA GÖTALANDS LÄN</t>
        </is>
      </c>
      <c r="G281" t="inlineStr">
        <is>
          <t>VÅRGÅRDA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46293</v>
      </c>
      <c r="F282" t="inlineStr">
        <is>
          <t>VÄSTRA GÖTALANDS LÄN</t>
        </is>
      </c>
      <c r="G282" t="inlineStr">
        <is>
          <t>VÅRGÅRDA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36421-2026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46269</v>
      </c>
      <c r="E283" s="1" t="n">
        <v>46293</v>
      </c>
      <c r="F283" t="inlineStr">
        <is>
          <t>VÄSTRA GÖTALANDS LÄN</t>
        </is>
      </c>
      <c r="G283" t="inlineStr">
        <is>
          <t>VÅRGÅRDA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45362</v>
      </c>
      <c r="E284" s="1" t="n">
        <v>46293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46293</v>
      </c>
      <c r="F285" t="inlineStr">
        <is>
          <t>VÄSTRA GÖTALANDS LÄN</t>
        </is>
      </c>
      <c r="G285" t="inlineStr">
        <is>
          <t>VÅRGÅRDA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46293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46293</v>
      </c>
      <c r="F287" t="inlineStr">
        <is>
          <t>VÄSTRA GÖTALANDS LÄN</t>
        </is>
      </c>
      <c r="G287" t="inlineStr">
        <is>
          <t>VÅRGÅRDA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46293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46293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46293</v>
      </c>
      <c r="F290" t="inlineStr">
        <is>
          <t>VÄSTRA GÖTALANDS LÄN</t>
        </is>
      </c>
      <c r="G290" t="inlineStr">
        <is>
          <t>VÅRGÅRDA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46293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45301</v>
      </c>
      <c r="E292" s="1" t="n">
        <v>46293</v>
      </c>
      <c r="F292" t="inlineStr">
        <is>
          <t>VÄSTRA GÖTALANDS LÄN</t>
        </is>
      </c>
      <c r="G292" t="inlineStr">
        <is>
          <t>VÅRGÅRDA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46293</v>
      </c>
      <c r="F293" t="inlineStr">
        <is>
          <t>VÄSTRA GÖTALANDS LÄN</t>
        </is>
      </c>
      <c r="G293" t="inlineStr">
        <is>
          <t>VÅRGÅRDA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46281</v>
      </c>
      <c r="E294" s="1" t="n">
        <v>46293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46293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46293</v>
      </c>
      <c r="F296" t="inlineStr">
        <is>
          <t>VÄSTRA GÖTALANDS LÄN</t>
        </is>
      </c>
      <c r="G296" t="inlineStr">
        <is>
          <t>VÅRGÅRDA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45406</v>
      </c>
      <c r="E297" s="1" t="n">
        <v>46293</v>
      </c>
      <c r="F297" t="inlineStr">
        <is>
          <t>VÄSTRA GÖTALANDS LÄN</t>
        </is>
      </c>
      <c r="G297" t="inlineStr">
        <is>
          <t>VÅRGÅRDA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46287</v>
      </c>
      <c r="E298" s="1" t="n">
        <v>46293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46293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46293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46293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46293</v>
      </c>
      <c r="F302" t="inlineStr">
        <is>
          <t>VÄSTRA GÖTALANDS LÄN</t>
        </is>
      </c>
      <c r="G302" t="inlineStr">
        <is>
          <t>VÅRGÅRDA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46293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46293</v>
      </c>
      <c r="F304" t="inlineStr">
        <is>
          <t>VÄSTRA GÖTALANDS LÄN</t>
        </is>
      </c>
      <c r="G304" t="inlineStr">
        <is>
          <t>VÅRGÅRDA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46293</v>
      </c>
      <c r="F305" t="inlineStr">
        <is>
          <t>VÄSTRA GÖTALANDS LÄN</t>
        </is>
      </c>
      <c r="G305" t="inlineStr">
        <is>
          <t>VÅRGÅRDA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46293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46293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46287</v>
      </c>
      <c r="E308" s="1" t="n">
        <v>46293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46293</v>
      </c>
      <c r="F309" t="inlineStr">
        <is>
          <t>VÄSTRA GÖTALANDS LÄN</t>
        </is>
      </c>
      <c r="G309" t="inlineStr">
        <is>
          <t>VÅRGÅRDA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46293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46293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46293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62148-2022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46293</v>
      </c>
      <c r="F313" t="inlineStr">
        <is>
          <t>VÄSTRA GÖTALANDS LÄN</t>
        </is>
      </c>
      <c r="G313" t="inlineStr">
        <is>
          <t>VÅRGÅRDA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46293</v>
      </c>
      <c r="F314" t="inlineStr">
        <is>
          <t>VÄSTRA GÖTALANDS LÄN</t>
        </is>
      </c>
      <c r="G314" t="inlineStr">
        <is>
          <t>VÅRGÅRDA</t>
        </is>
      </c>
      <c r="H314" t="inlineStr">
        <is>
          <t>Allmännings- och besparingsskogar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45429</v>
      </c>
      <c r="E315" s="1" t="n">
        <v>46293</v>
      </c>
      <c r="F315" t="inlineStr">
        <is>
          <t>VÄSTRA GÖTALANDS LÄN</t>
        </is>
      </c>
      <c r="G315" t="inlineStr">
        <is>
          <t>VÅRGÅRDA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46293</v>
      </c>
      <c r="F316" t="inlineStr">
        <is>
          <t>VÄSTRA GÖTALANDS LÄN</t>
        </is>
      </c>
      <c r="G316" t="inlineStr">
        <is>
          <t>VÅRGÅRDA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58049-2023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46293</v>
      </c>
      <c r="F317" t="inlineStr">
        <is>
          <t>VÄSTRA GÖTALANDS LÄN</t>
        </is>
      </c>
      <c r="G317" t="inlineStr">
        <is>
          <t>VÅRGÅRDA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45375</v>
      </c>
      <c r="E318" s="1" t="n">
        <v>46293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45620</v>
      </c>
      <c r="E319" s="1" t="n">
        <v>46293</v>
      </c>
      <c r="F319" t="inlineStr">
        <is>
          <t>VÄSTRA GÖTALANDS LÄN</t>
        </is>
      </c>
      <c r="G319" t="inlineStr">
        <is>
          <t>VÅRGÅRDA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46293</v>
      </c>
      <c r="F320" t="inlineStr">
        <is>
          <t>VÄSTRA GÖTALANDS LÄN</t>
        </is>
      </c>
      <c r="G320" t="inlineStr">
        <is>
          <t>VÅRGÅRDA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46293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45237</v>
      </c>
      <c r="E322" s="1" t="n">
        <v>46293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46293</v>
      </c>
      <c r="F323" t="inlineStr">
        <is>
          <t>VÄSTRA GÖTALANDS LÄN</t>
        </is>
      </c>
      <c r="G323" t="inlineStr">
        <is>
          <t>VÅRGÅRDA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48718-2023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46293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46293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44968</v>
      </c>
      <c r="E326" s="1" t="n">
        <v>46293</v>
      </c>
      <c r="F326" t="inlineStr">
        <is>
          <t>VÄSTRA GÖTALANDS LÄN</t>
        </is>
      </c>
      <c r="G326" t="inlineStr">
        <is>
          <t>VÅRGÅRDA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46293</v>
      </c>
      <c r="F327" t="inlineStr">
        <is>
          <t>VÄSTRA GÖTALANDS LÄN</t>
        </is>
      </c>
      <c r="G327" t="inlineStr">
        <is>
          <t>VÅRGÅRDA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46293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46293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46293</v>
      </c>
      <c r="F330" t="inlineStr">
        <is>
          <t>VÄSTRA GÖTALANDS LÄN</t>
        </is>
      </c>
      <c r="G330" t="inlineStr">
        <is>
          <t>VÅRGÅRDA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46293</v>
      </c>
      <c r="F331" t="inlineStr">
        <is>
          <t>VÄSTRA GÖTALANDS LÄN</t>
        </is>
      </c>
      <c r="G331" t="inlineStr">
        <is>
          <t>VÅRGÅRDA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46293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46293</v>
      </c>
      <c r="F333" t="inlineStr">
        <is>
          <t>VÄSTRA GÖTALANDS LÄN</t>
        </is>
      </c>
      <c r="G333" t="inlineStr">
        <is>
          <t>VÅRGÅRDA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45190</v>
      </c>
      <c r="E334" s="1" t="n">
        <v>46293</v>
      </c>
      <c r="F334" t="inlineStr">
        <is>
          <t>VÄSTRA GÖTALANDS LÄN</t>
        </is>
      </c>
      <c r="G334" t="inlineStr">
        <is>
          <t>VÅRGÅRDA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45782</v>
      </c>
      <c r="E335" s="1" t="n">
        <v>46293</v>
      </c>
      <c r="F335" t="inlineStr">
        <is>
          <t>VÄSTRA GÖTALANDS LÄN</t>
        </is>
      </c>
      <c r="G335" t="inlineStr">
        <is>
          <t>VÅRGÅRDA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46293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46293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46293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46293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46293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46293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46293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46293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46293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46293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46293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46293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46293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2026-09-28T02:00:40Z</dcterms:created>
  <dcterms:modified xmlns:dcterms="http://purl.org/dc/terms/" xmlns:xsi="http://www.w3.org/2001/XMLSchema-instance" xsi:type="dcterms:W3CDTF">2026-09-28T02:00:41Z</dcterms:modified>
</cp:coreProperties>
</file>