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9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13991-2023</t>
        </is>
      </c>
      <c r="B2" s="1" t="n">
        <v>45008</v>
      </c>
      <c r="C2" s="1" t="n">
        <v>46140</v>
      </c>
      <c r="D2" t="inlineStr">
        <is>
          <t>VÄSTRA GÖTALANDS LÄN</t>
        </is>
      </c>
      <c r="E2" t="inlineStr">
        <is>
          <t>VÅRGÅRDA</t>
        </is>
      </c>
      <c r="G2" t="n">
        <v>0.2</v>
      </c>
      <c r="H2" t="n">
        <v>0</v>
      </c>
      <c r="I2" t="n">
        <v>0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1</v>
      </c>
      <c r="R2" s="2" t="inlineStr">
        <is>
          <t>Borsttåg</t>
        </is>
      </c>
      <c r="S2">
        <f>HYPERLINK("https://klasma.github.io/Logging_1442/artfynd/A 13991-2023 artfynd.xlsx", "A 13991-2023")</f>
        <v/>
      </c>
      <c r="T2">
        <f>HYPERLINK("https://klasma.github.io/Logging_1442/kartor/A 13991-2023 karta.png", "A 13991-2023")</f>
        <v/>
      </c>
      <c r="V2">
        <f>HYPERLINK("https://klasma.github.io/Logging_1442/klagomål/A 13991-2023 FSC-klagomål.docx", "A 13991-2023")</f>
        <v/>
      </c>
      <c r="W2">
        <f>HYPERLINK("https://klasma.github.io/Logging_1442/klagomålsmail/A 13991-2023 FSC-klagomål mail.docx", "A 13991-2023")</f>
        <v/>
      </c>
      <c r="X2">
        <f>HYPERLINK("https://klasma.github.io/Logging_1442/tillsyn/A 13991-2023 tillsynsbegäran.docx", "A 13991-2023")</f>
        <v/>
      </c>
      <c r="Y2">
        <f>HYPERLINK("https://klasma.github.io/Logging_1442/tillsynsmail/A 13991-2023 tillsynsbegäran mail.docx", "A 13991-2023")</f>
        <v/>
      </c>
    </row>
    <row r="3" ht="15" customHeight="1">
      <c r="A3" t="inlineStr">
        <is>
          <t>A 11214-2023</t>
        </is>
      </c>
      <c r="B3" s="1" t="n">
        <v>44992</v>
      </c>
      <c r="C3" s="1" t="n">
        <v>46140</v>
      </c>
      <c r="D3" t="inlineStr">
        <is>
          <t>VÄSTRA GÖTALANDS LÄN</t>
        </is>
      </c>
      <c r="E3" t="inlineStr">
        <is>
          <t>VÅRGÅRDA</t>
        </is>
      </c>
      <c r="G3" t="n">
        <v>1.9</v>
      </c>
      <c r="H3" t="n">
        <v>1</v>
      </c>
      <c r="I3" t="n">
        <v>0</v>
      </c>
      <c r="J3" t="n">
        <v>0</v>
      </c>
      <c r="K3" t="n">
        <v>1</v>
      </c>
      <c r="L3" t="n">
        <v>0</v>
      </c>
      <c r="M3" t="n">
        <v>0</v>
      </c>
      <c r="N3" t="n">
        <v>0</v>
      </c>
      <c r="O3" t="n">
        <v>1</v>
      </c>
      <c r="P3" t="n">
        <v>1</v>
      </c>
      <c r="Q3" t="n">
        <v>1</v>
      </c>
      <c r="R3" s="2" t="inlineStr">
        <is>
          <t>Stare</t>
        </is>
      </c>
      <c r="S3">
        <f>HYPERLINK("https://klasma.github.io/Logging_1442/artfynd/A 11214-2023 artfynd.xlsx", "A 11214-2023")</f>
        <v/>
      </c>
      <c r="T3">
        <f>HYPERLINK("https://klasma.github.io/Logging_1442/kartor/A 11214-2023 karta.png", "A 11214-2023")</f>
        <v/>
      </c>
      <c r="V3">
        <f>HYPERLINK("https://klasma.github.io/Logging_1442/klagomål/A 11214-2023 FSC-klagomål.docx", "A 11214-2023")</f>
        <v/>
      </c>
      <c r="W3">
        <f>HYPERLINK("https://klasma.github.io/Logging_1442/klagomålsmail/A 11214-2023 FSC-klagomål mail.docx", "A 11214-2023")</f>
        <v/>
      </c>
      <c r="X3">
        <f>HYPERLINK("https://klasma.github.io/Logging_1442/tillsyn/A 11214-2023 tillsynsbegäran.docx", "A 11214-2023")</f>
        <v/>
      </c>
      <c r="Y3">
        <f>HYPERLINK("https://klasma.github.io/Logging_1442/tillsynsmail/A 11214-2023 tillsynsbegäran mail.docx", "A 11214-2023")</f>
        <v/>
      </c>
    </row>
    <row r="4" ht="15" customHeight="1">
      <c r="A4" t="inlineStr">
        <is>
          <t>A 47506-2023</t>
        </is>
      </c>
      <c r="B4" s="1" t="n">
        <v>45203.28686342593</v>
      </c>
      <c r="C4" s="1" t="n">
        <v>46140</v>
      </c>
      <c r="D4" t="inlineStr">
        <is>
          <t>VÄSTRA GÖTALANDS LÄN</t>
        </is>
      </c>
      <c r="E4" t="inlineStr">
        <is>
          <t>VÅRGÅRDA</t>
        </is>
      </c>
      <c r="G4" t="n">
        <v>1.4</v>
      </c>
      <c r="H4" t="n">
        <v>1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s="2" t="inlineStr">
        <is>
          <t>Revlummer</t>
        </is>
      </c>
      <c r="S4">
        <f>HYPERLINK("https://klasma.github.io/Logging_1442/artfynd/A 47506-2023 artfynd.xlsx", "A 47506-2023")</f>
        <v/>
      </c>
      <c r="T4">
        <f>HYPERLINK("https://klasma.github.io/Logging_1442/kartor/A 47506-2023 karta.png", "A 47506-2023")</f>
        <v/>
      </c>
      <c r="V4">
        <f>HYPERLINK("https://klasma.github.io/Logging_1442/klagomål/A 47506-2023 FSC-klagomål.docx", "A 47506-2023")</f>
        <v/>
      </c>
      <c r="W4">
        <f>HYPERLINK("https://klasma.github.io/Logging_1442/klagomålsmail/A 47506-2023 FSC-klagomål mail.docx", "A 47506-2023")</f>
        <v/>
      </c>
      <c r="X4">
        <f>HYPERLINK("https://klasma.github.io/Logging_1442/tillsyn/A 47506-2023 tillsynsbegäran.docx", "A 47506-2023")</f>
        <v/>
      </c>
      <c r="Y4">
        <f>HYPERLINK("https://klasma.github.io/Logging_1442/tillsynsmail/A 47506-2023 tillsynsbegäran mail.docx", "A 47506-2023")</f>
        <v/>
      </c>
    </row>
    <row r="5" ht="15" customHeight="1">
      <c r="A5" t="inlineStr">
        <is>
          <t>A 2412-2026</t>
        </is>
      </c>
      <c r="B5" s="1" t="n">
        <v>46036.73480324074</v>
      </c>
      <c r="C5" s="1" t="n">
        <v>46140</v>
      </c>
      <c r="D5" t="inlineStr">
        <is>
          <t>VÄSTRA GÖTALANDS LÄN</t>
        </is>
      </c>
      <c r="E5" t="inlineStr">
        <is>
          <t>VÅRGÅRDA</t>
        </is>
      </c>
      <c r="G5" t="n">
        <v>4.4</v>
      </c>
      <c r="H5" t="n">
        <v>0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1</v>
      </c>
      <c r="R5" s="2" t="inlineStr">
        <is>
          <t>Svinrot</t>
        </is>
      </c>
      <c r="S5">
        <f>HYPERLINK("https://klasma.github.io/Logging_1442/artfynd/A 2412-2026 artfynd.xlsx", "A 2412-2026")</f>
        <v/>
      </c>
      <c r="T5">
        <f>HYPERLINK("https://klasma.github.io/Logging_1442/kartor/A 2412-2026 karta.png", "A 2412-2026")</f>
        <v/>
      </c>
      <c r="V5">
        <f>HYPERLINK("https://klasma.github.io/Logging_1442/klagomål/A 2412-2026 FSC-klagomål.docx", "A 2412-2026")</f>
        <v/>
      </c>
      <c r="W5">
        <f>HYPERLINK("https://klasma.github.io/Logging_1442/klagomålsmail/A 2412-2026 FSC-klagomål mail.docx", "A 2412-2026")</f>
        <v/>
      </c>
      <c r="X5">
        <f>HYPERLINK("https://klasma.github.io/Logging_1442/tillsyn/A 2412-2026 tillsynsbegäran.docx", "A 2412-2026")</f>
        <v/>
      </c>
      <c r="Y5">
        <f>HYPERLINK("https://klasma.github.io/Logging_1442/tillsynsmail/A 2412-2026 tillsynsbegäran mail.docx", "A 2412-2026")</f>
        <v/>
      </c>
    </row>
    <row r="6" ht="15" customHeight="1">
      <c r="A6" t="inlineStr">
        <is>
          <t>A 19473-2022</t>
        </is>
      </c>
      <c r="B6" s="1" t="n">
        <v>44693</v>
      </c>
      <c r="C6" s="1" t="n">
        <v>46140</v>
      </c>
      <c r="D6" t="inlineStr">
        <is>
          <t>VÄSTRA GÖTALANDS LÄN</t>
        </is>
      </c>
      <c r="E6" t="inlineStr">
        <is>
          <t>VÅRGÅRDA</t>
        </is>
      </c>
      <c r="G6" t="n">
        <v>2.1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60880-2021</t>
        </is>
      </c>
      <c r="B7" s="1" t="n">
        <v>44496</v>
      </c>
      <c r="C7" s="1" t="n">
        <v>46140</v>
      </c>
      <c r="D7" t="inlineStr">
        <is>
          <t>VÄSTRA GÖTALANDS LÄN</t>
        </is>
      </c>
      <c r="E7" t="inlineStr">
        <is>
          <t>VÅRGÅRDA</t>
        </is>
      </c>
      <c r="G7" t="n">
        <v>1.3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64396-2021</t>
        </is>
      </c>
      <c r="B8" s="1" t="n">
        <v>44511</v>
      </c>
      <c r="C8" s="1" t="n">
        <v>46140</v>
      </c>
      <c r="D8" t="inlineStr">
        <is>
          <t>VÄSTRA GÖTALANDS LÄN</t>
        </is>
      </c>
      <c r="E8" t="inlineStr">
        <is>
          <t>VÅRGÅRDA</t>
        </is>
      </c>
      <c r="G8" t="n">
        <v>11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20631-2021</t>
        </is>
      </c>
      <c r="B9" s="1" t="n">
        <v>44316.39745370371</v>
      </c>
      <c r="C9" s="1" t="n">
        <v>46140</v>
      </c>
      <c r="D9" t="inlineStr">
        <is>
          <t>VÄSTRA GÖTALANDS LÄN</t>
        </is>
      </c>
      <c r="E9" t="inlineStr">
        <is>
          <t>VÅRGÅRDA</t>
        </is>
      </c>
      <c r="G9" t="n">
        <v>3.4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20270-2021</t>
        </is>
      </c>
      <c r="B10" s="1" t="n">
        <v>44314</v>
      </c>
      <c r="C10" s="1" t="n">
        <v>46140</v>
      </c>
      <c r="D10" t="inlineStr">
        <is>
          <t>VÄSTRA GÖTALANDS LÄN</t>
        </is>
      </c>
      <c r="E10" t="inlineStr">
        <is>
          <t>VÅRGÅRDA</t>
        </is>
      </c>
      <c r="F10" t="inlineStr">
        <is>
          <t>Kyrkan</t>
        </is>
      </c>
      <c r="G10" t="n">
        <v>4.2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627-2022</t>
        </is>
      </c>
      <c r="B11" s="1" t="n">
        <v>44568.35050925926</v>
      </c>
      <c r="C11" s="1" t="n">
        <v>46140</v>
      </c>
      <c r="D11" t="inlineStr">
        <is>
          <t>VÄSTRA GÖTALANDS LÄN</t>
        </is>
      </c>
      <c r="E11" t="inlineStr">
        <is>
          <t>VÅRGÅRDA</t>
        </is>
      </c>
      <c r="G11" t="n">
        <v>2.3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628-2022</t>
        </is>
      </c>
      <c r="B12" s="1" t="n">
        <v>44568.35122685185</v>
      </c>
      <c r="C12" s="1" t="n">
        <v>46140</v>
      </c>
      <c r="D12" t="inlineStr">
        <is>
          <t>VÄSTRA GÖTALANDS LÄN</t>
        </is>
      </c>
      <c r="E12" t="inlineStr">
        <is>
          <t>VÅRGÅRDA</t>
        </is>
      </c>
      <c r="G12" t="n">
        <v>8.5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46432-2021</t>
        </is>
      </c>
      <c r="B13" s="1" t="n">
        <v>44445.32841435185</v>
      </c>
      <c r="C13" s="1" t="n">
        <v>46140</v>
      </c>
      <c r="D13" t="inlineStr">
        <is>
          <t>VÄSTRA GÖTALANDS LÄN</t>
        </is>
      </c>
      <c r="E13" t="inlineStr">
        <is>
          <t>VÅRGÅRDA</t>
        </is>
      </c>
      <c r="G13" t="n">
        <v>2.1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6624-2022</t>
        </is>
      </c>
      <c r="B14" s="1" t="n">
        <v>44601</v>
      </c>
      <c r="C14" s="1" t="n">
        <v>46140</v>
      </c>
      <c r="D14" t="inlineStr">
        <is>
          <t>VÄSTRA GÖTALANDS LÄN</t>
        </is>
      </c>
      <c r="E14" t="inlineStr">
        <is>
          <t>VÅRGÅRDA</t>
        </is>
      </c>
      <c r="G14" t="n">
        <v>1.4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69935-2021</t>
        </is>
      </c>
      <c r="B15" s="1" t="n">
        <v>44533</v>
      </c>
      <c r="C15" s="1" t="n">
        <v>46140</v>
      </c>
      <c r="D15" t="inlineStr">
        <is>
          <t>VÄSTRA GÖTALANDS LÄN</t>
        </is>
      </c>
      <c r="E15" t="inlineStr">
        <is>
          <t>VÅRGÅRDA</t>
        </is>
      </c>
      <c r="G15" t="n">
        <v>1.2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1109-2022</t>
        </is>
      </c>
      <c r="B16" s="1" t="n">
        <v>44572</v>
      </c>
      <c r="C16" s="1" t="n">
        <v>46140</v>
      </c>
      <c r="D16" t="inlineStr">
        <is>
          <t>VÄSTRA GÖTALANDS LÄN</t>
        </is>
      </c>
      <c r="E16" t="inlineStr">
        <is>
          <t>VÅRGÅRDA</t>
        </is>
      </c>
      <c r="G16" t="n">
        <v>3.2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35991-2021</t>
        </is>
      </c>
      <c r="B17" s="1" t="n">
        <v>44389.36113425926</v>
      </c>
      <c r="C17" s="1" t="n">
        <v>46140</v>
      </c>
      <c r="D17" t="inlineStr">
        <is>
          <t>VÄSTRA GÖTALANDS LÄN</t>
        </is>
      </c>
      <c r="E17" t="inlineStr">
        <is>
          <t>VÅRGÅRDA</t>
        </is>
      </c>
      <c r="G17" t="n">
        <v>1.6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60865-2021</t>
        </is>
      </c>
      <c r="B18" s="1" t="n">
        <v>44496</v>
      </c>
      <c r="C18" s="1" t="n">
        <v>46140</v>
      </c>
      <c r="D18" t="inlineStr">
        <is>
          <t>VÄSTRA GÖTALANDS LÄN</t>
        </is>
      </c>
      <c r="E18" t="inlineStr">
        <is>
          <t>VÅRGÅRDA</t>
        </is>
      </c>
      <c r="G18" t="n">
        <v>1.5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20272-2021</t>
        </is>
      </c>
      <c r="B19" s="1" t="n">
        <v>44314</v>
      </c>
      <c r="C19" s="1" t="n">
        <v>46140</v>
      </c>
      <c r="D19" t="inlineStr">
        <is>
          <t>VÄSTRA GÖTALANDS LÄN</t>
        </is>
      </c>
      <c r="E19" t="inlineStr">
        <is>
          <t>VÅRGÅRDA</t>
        </is>
      </c>
      <c r="F19" t="inlineStr">
        <is>
          <t>Kyrkan</t>
        </is>
      </c>
      <c r="G19" t="n">
        <v>1.2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17201-2022</t>
        </is>
      </c>
      <c r="B20" s="1" t="n">
        <v>44677</v>
      </c>
      <c r="C20" s="1" t="n">
        <v>46140</v>
      </c>
      <c r="D20" t="inlineStr">
        <is>
          <t>VÄSTRA GÖTALANDS LÄN</t>
        </is>
      </c>
      <c r="E20" t="inlineStr">
        <is>
          <t>VÅRGÅRDA</t>
        </is>
      </c>
      <c r="G20" t="n">
        <v>1.6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39499-2022</t>
        </is>
      </c>
      <c r="B21" s="1" t="n">
        <v>44818</v>
      </c>
      <c r="C21" s="1" t="n">
        <v>46140</v>
      </c>
      <c r="D21" t="inlineStr">
        <is>
          <t>VÄSTRA GÖTALANDS LÄN</t>
        </is>
      </c>
      <c r="E21" t="inlineStr">
        <is>
          <t>VÅRGÅRDA</t>
        </is>
      </c>
      <c r="G21" t="n">
        <v>8.300000000000001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26169-2021</t>
        </is>
      </c>
      <c r="B22" s="1" t="n">
        <v>44347</v>
      </c>
      <c r="C22" s="1" t="n">
        <v>46140</v>
      </c>
      <c r="D22" t="inlineStr">
        <is>
          <t>VÄSTRA GÖTALANDS LÄN</t>
        </is>
      </c>
      <c r="E22" t="inlineStr">
        <is>
          <t>VÅRGÅRDA</t>
        </is>
      </c>
      <c r="G22" t="n">
        <v>0.8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799-2022</t>
        </is>
      </c>
      <c r="B23" s="1" t="n">
        <v>44571</v>
      </c>
      <c r="C23" s="1" t="n">
        <v>46140</v>
      </c>
      <c r="D23" t="inlineStr">
        <is>
          <t>VÄSTRA GÖTALANDS LÄN</t>
        </is>
      </c>
      <c r="E23" t="inlineStr">
        <is>
          <t>VÅRGÅRDA</t>
        </is>
      </c>
      <c r="G23" t="n">
        <v>0.8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62049-2021</t>
        </is>
      </c>
      <c r="B24" s="1" t="n">
        <v>44501</v>
      </c>
      <c r="C24" s="1" t="n">
        <v>46140</v>
      </c>
      <c r="D24" t="inlineStr">
        <is>
          <t>VÄSTRA GÖTALANDS LÄN</t>
        </is>
      </c>
      <c r="E24" t="inlineStr">
        <is>
          <t>VÅRGÅRDA</t>
        </is>
      </c>
      <c r="G24" t="n">
        <v>0.9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49719-2021</t>
        </is>
      </c>
      <c r="B25" s="1" t="n">
        <v>44455.51653935185</v>
      </c>
      <c r="C25" s="1" t="n">
        <v>46140</v>
      </c>
      <c r="D25" t="inlineStr">
        <is>
          <t>VÄSTRA GÖTALANDS LÄN</t>
        </is>
      </c>
      <c r="E25" t="inlineStr">
        <is>
          <t>VÅRGÅRDA</t>
        </is>
      </c>
      <c r="G25" t="n">
        <v>0.8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180-2022</t>
        </is>
      </c>
      <c r="B26" s="1" t="n">
        <v>44564</v>
      </c>
      <c r="C26" s="1" t="n">
        <v>46140</v>
      </c>
      <c r="D26" t="inlineStr">
        <is>
          <t>VÄSTRA GÖTALANDS LÄN</t>
        </is>
      </c>
      <c r="E26" t="inlineStr">
        <is>
          <t>VÅRGÅRDA</t>
        </is>
      </c>
      <c r="F26" t="inlineStr">
        <is>
          <t>Kyrkan</t>
        </is>
      </c>
      <c r="G26" t="n">
        <v>7.6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34531-2021</t>
        </is>
      </c>
      <c r="B27" s="1" t="n">
        <v>44382.40559027778</v>
      </c>
      <c r="C27" s="1" t="n">
        <v>46140</v>
      </c>
      <c r="D27" t="inlineStr">
        <is>
          <t>VÄSTRA GÖTALANDS LÄN</t>
        </is>
      </c>
      <c r="E27" t="inlineStr">
        <is>
          <t>VÅRGÅRDA</t>
        </is>
      </c>
      <c r="G27" t="n">
        <v>0.6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63142-2021</t>
        </is>
      </c>
      <c r="B28" s="1" t="n">
        <v>44505</v>
      </c>
      <c r="C28" s="1" t="n">
        <v>46140</v>
      </c>
      <c r="D28" t="inlineStr">
        <is>
          <t>VÄSTRA GÖTALANDS LÄN</t>
        </is>
      </c>
      <c r="E28" t="inlineStr">
        <is>
          <t>VÅRGÅRDA</t>
        </is>
      </c>
      <c r="G28" t="n">
        <v>1.5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27615-2022</t>
        </is>
      </c>
      <c r="B29" s="1" t="n">
        <v>44743.30945601852</v>
      </c>
      <c r="C29" s="1" t="n">
        <v>46140</v>
      </c>
      <c r="D29" t="inlineStr">
        <is>
          <t>VÄSTRA GÖTALANDS LÄN</t>
        </is>
      </c>
      <c r="E29" t="inlineStr">
        <is>
          <t>VÅRGÅRDA</t>
        </is>
      </c>
      <c r="G29" t="n">
        <v>0.8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7531-2022</t>
        </is>
      </c>
      <c r="B30" s="1" t="n">
        <v>44607</v>
      </c>
      <c r="C30" s="1" t="n">
        <v>46140</v>
      </c>
      <c r="D30" t="inlineStr">
        <is>
          <t>VÄSTRA GÖTALANDS LÄN</t>
        </is>
      </c>
      <c r="E30" t="inlineStr">
        <is>
          <t>VÅRGÅRDA</t>
        </is>
      </c>
      <c r="G30" t="n">
        <v>2.6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2597-2022</t>
        </is>
      </c>
      <c r="B31" s="1" t="n">
        <v>44580</v>
      </c>
      <c r="C31" s="1" t="n">
        <v>46140</v>
      </c>
      <c r="D31" t="inlineStr">
        <is>
          <t>VÄSTRA GÖTALANDS LÄN</t>
        </is>
      </c>
      <c r="E31" t="inlineStr">
        <is>
          <t>VÅRGÅRDA</t>
        </is>
      </c>
      <c r="G31" t="n">
        <v>2.5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47024-2021</t>
        </is>
      </c>
      <c r="B32" s="1" t="n">
        <v>44446.59780092593</v>
      </c>
      <c r="C32" s="1" t="n">
        <v>46140</v>
      </c>
      <c r="D32" t="inlineStr">
        <is>
          <t>VÄSTRA GÖTALANDS LÄN</t>
        </is>
      </c>
      <c r="E32" t="inlineStr">
        <is>
          <t>VÅRGÅRDA</t>
        </is>
      </c>
      <c r="G32" t="n">
        <v>1.9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64389-2021</t>
        </is>
      </c>
      <c r="B33" s="1" t="n">
        <v>44511</v>
      </c>
      <c r="C33" s="1" t="n">
        <v>46140</v>
      </c>
      <c r="D33" t="inlineStr">
        <is>
          <t>VÄSTRA GÖTALANDS LÄN</t>
        </is>
      </c>
      <c r="E33" t="inlineStr">
        <is>
          <t>VÅRGÅRDA</t>
        </is>
      </c>
      <c r="G33" t="n">
        <v>2.7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37848-2022</t>
        </is>
      </c>
      <c r="B34" s="1" t="n">
        <v>44811.28633101852</v>
      </c>
      <c r="C34" s="1" t="n">
        <v>46140</v>
      </c>
      <c r="D34" t="inlineStr">
        <is>
          <t>VÄSTRA GÖTALANDS LÄN</t>
        </is>
      </c>
      <c r="E34" t="inlineStr">
        <is>
          <t>VÅRGÅRDA</t>
        </is>
      </c>
      <c r="G34" t="n">
        <v>1.3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9470-2022</t>
        </is>
      </c>
      <c r="B35" s="1" t="n">
        <v>44616</v>
      </c>
      <c r="C35" s="1" t="n">
        <v>46140</v>
      </c>
      <c r="D35" t="inlineStr">
        <is>
          <t>VÄSTRA GÖTALANDS LÄN</t>
        </is>
      </c>
      <c r="E35" t="inlineStr">
        <is>
          <t>VÅRGÅRDA</t>
        </is>
      </c>
      <c r="G35" t="n">
        <v>21.5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10118-2022</t>
        </is>
      </c>
      <c r="B36" s="1" t="n">
        <v>44621.91310185185</v>
      </c>
      <c r="C36" s="1" t="n">
        <v>46140</v>
      </c>
      <c r="D36" t="inlineStr">
        <is>
          <t>VÄSTRA GÖTALANDS LÄN</t>
        </is>
      </c>
      <c r="E36" t="inlineStr">
        <is>
          <t>VÅRGÅRDA</t>
        </is>
      </c>
      <c r="G36" t="n">
        <v>0.5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44001-2021</t>
        </is>
      </c>
      <c r="B37" s="1" t="n">
        <v>44434.48554398148</v>
      </c>
      <c r="C37" s="1" t="n">
        <v>46140</v>
      </c>
      <c r="D37" t="inlineStr">
        <is>
          <t>VÄSTRA GÖTALANDS LÄN</t>
        </is>
      </c>
      <c r="E37" t="inlineStr">
        <is>
          <t>VÅRGÅRDA</t>
        </is>
      </c>
      <c r="G37" t="n">
        <v>1.2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52359-2021</t>
        </is>
      </c>
      <c r="B38" s="1" t="n">
        <v>44465.35538194444</v>
      </c>
      <c r="C38" s="1" t="n">
        <v>46140</v>
      </c>
      <c r="D38" t="inlineStr">
        <is>
          <t>VÄSTRA GÖTALANDS LÄN</t>
        </is>
      </c>
      <c r="E38" t="inlineStr">
        <is>
          <t>VÅRGÅRDA</t>
        </is>
      </c>
      <c r="G38" t="n">
        <v>0.1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53650-2021</t>
        </is>
      </c>
      <c r="B39" s="1" t="n">
        <v>44469.43070601852</v>
      </c>
      <c r="C39" s="1" t="n">
        <v>46140</v>
      </c>
      <c r="D39" t="inlineStr">
        <is>
          <t>VÄSTRA GÖTALANDS LÄN</t>
        </is>
      </c>
      <c r="E39" t="inlineStr">
        <is>
          <t>VÅRGÅRDA</t>
        </is>
      </c>
      <c r="G39" t="n">
        <v>0.6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62124-2021</t>
        </is>
      </c>
      <c r="B40" s="1" t="n">
        <v>44501</v>
      </c>
      <c r="C40" s="1" t="n">
        <v>46140</v>
      </c>
      <c r="D40" t="inlineStr">
        <is>
          <t>VÄSTRA GÖTALANDS LÄN</t>
        </is>
      </c>
      <c r="E40" t="inlineStr">
        <is>
          <t>VÅRGÅRDA</t>
        </is>
      </c>
      <c r="G40" t="n">
        <v>1.2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29025-2021</t>
        </is>
      </c>
      <c r="B41" s="1" t="n">
        <v>44358</v>
      </c>
      <c r="C41" s="1" t="n">
        <v>46140</v>
      </c>
      <c r="D41" t="inlineStr">
        <is>
          <t>VÄSTRA GÖTALANDS LÄN</t>
        </is>
      </c>
      <c r="E41" t="inlineStr">
        <is>
          <t>VÅRGÅRDA</t>
        </is>
      </c>
      <c r="G41" t="n">
        <v>0.8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1367-2022</t>
        </is>
      </c>
      <c r="B42" s="1" t="n">
        <v>44573.34431712963</v>
      </c>
      <c r="C42" s="1" t="n">
        <v>46140</v>
      </c>
      <c r="D42" t="inlineStr">
        <is>
          <t>VÄSTRA GÖTALANDS LÄN</t>
        </is>
      </c>
      <c r="E42" t="inlineStr">
        <is>
          <t>VÅRGÅRDA</t>
        </is>
      </c>
      <c r="G42" t="n">
        <v>0.4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41497-2022</t>
        </is>
      </c>
      <c r="B43" s="1" t="n">
        <v>44826.95922453704</v>
      </c>
      <c r="C43" s="1" t="n">
        <v>46140</v>
      </c>
      <c r="D43" t="inlineStr">
        <is>
          <t>VÄSTRA GÖTALANDS LÄN</t>
        </is>
      </c>
      <c r="E43" t="inlineStr">
        <is>
          <t>VÅRGÅRDA</t>
        </is>
      </c>
      <c r="G43" t="n">
        <v>2.7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15548-2022</t>
        </is>
      </c>
      <c r="B44" s="1" t="n">
        <v>44662.48648148148</v>
      </c>
      <c r="C44" s="1" t="n">
        <v>46140</v>
      </c>
      <c r="D44" t="inlineStr">
        <is>
          <t>VÄSTRA GÖTALANDS LÄN</t>
        </is>
      </c>
      <c r="E44" t="inlineStr">
        <is>
          <t>VÅRGÅRDA</t>
        </is>
      </c>
      <c r="G44" t="n">
        <v>0.5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13506-2022</t>
        </is>
      </c>
      <c r="B45" s="1" t="n">
        <v>44648.29912037037</v>
      </c>
      <c r="C45" s="1" t="n">
        <v>46140</v>
      </c>
      <c r="D45" t="inlineStr">
        <is>
          <t>VÄSTRA GÖTALANDS LÄN</t>
        </is>
      </c>
      <c r="E45" t="inlineStr">
        <is>
          <t>VÅRGÅRDA</t>
        </is>
      </c>
      <c r="G45" t="n">
        <v>1.5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65303-2021</t>
        </is>
      </c>
      <c r="B46" s="1" t="n">
        <v>44515</v>
      </c>
      <c r="C46" s="1" t="n">
        <v>46140</v>
      </c>
      <c r="D46" t="inlineStr">
        <is>
          <t>VÄSTRA GÖTALANDS LÄN</t>
        </is>
      </c>
      <c r="E46" t="inlineStr">
        <is>
          <t>VÅRGÅRDA</t>
        </is>
      </c>
      <c r="G46" t="n">
        <v>1.8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56788-2024</t>
        </is>
      </c>
      <c r="B47" s="1" t="n">
        <v>45628.45511574074</v>
      </c>
      <c r="C47" s="1" t="n">
        <v>46140</v>
      </c>
      <c r="D47" t="inlineStr">
        <is>
          <t>VÄSTRA GÖTALANDS LÄN</t>
        </is>
      </c>
      <c r="E47" t="inlineStr">
        <is>
          <t>VÅRGÅRDA</t>
        </is>
      </c>
      <c r="G47" t="n">
        <v>6.3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20806-2023</t>
        </is>
      </c>
      <c r="B48" s="1" t="n">
        <v>45058</v>
      </c>
      <c r="C48" s="1" t="n">
        <v>46140</v>
      </c>
      <c r="D48" t="inlineStr">
        <is>
          <t>VÄSTRA GÖTALANDS LÄN</t>
        </is>
      </c>
      <c r="E48" t="inlineStr">
        <is>
          <t>VÅRGÅRDA</t>
        </is>
      </c>
      <c r="G48" t="n">
        <v>4.2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26526-2022</t>
        </is>
      </c>
      <c r="B49" s="1" t="n">
        <v>44739.44171296297</v>
      </c>
      <c r="C49" s="1" t="n">
        <v>46140</v>
      </c>
      <c r="D49" t="inlineStr">
        <is>
          <t>VÄSTRA GÖTALANDS LÄN</t>
        </is>
      </c>
      <c r="E49" t="inlineStr">
        <is>
          <t>VÅRGÅRDA</t>
        </is>
      </c>
      <c r="G49" t="n">
        <v>3.1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11793-2024</t>
        </is>
      </c>
      <c r="B50" s="1" t="n">
        <v>45375.30324074074</v>
      </c>
      <c r="C50" s="1" t="n">
        <v>46140</v>
      </c>
      <c r="D50" t="inlineStr">
        <is>
          <t>VÄSTRA GÖTALANDS LÄN</t>
        </is>
      </c>
      <c r="E50" t="inlineStr">
        <is>
          <t>VÅRGÅRDA</t>
        </is>
      </c>
      <c r="G50" t="n">
        <v>0.4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29092-2023</t>
        </is>
      </c>
      <c r="B51" s="1" t="n">
        <v>45105.34570601852</v>
      </c>
      <c r="C51" s="1" t="n">
        <v>46140</v>
      </c>
      <c r="D51" t="inlineStr">
        <is>
          <t>VÄSTRA GÖTALANDS LÄN</t>
        </is>
      </c>
      <c r="E51" t="inlineStr">
        <is>
          <t>VÅRGÅRDA</t>
        </is>
      </c>
      <c r="F51" t="inlineStr">
        <is>
          <t>Kommuner</t>
        </is>
      </c>
      <c r="G51" t="n">
        <v>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57921-2022</t>
        </is>
      </c>
      <c r="B52" s="1" t="n">
        <v>44900</v>
      </c>
      <c r="C52" s="1" t="n">
        <v>46140</v>
      </c>
      <c r="D52" t="inlineStr">
        <is>
          <t>VÄSTRA GÖTALANDS LÄN</t>
        </is>
      </c>
      <c r="E52" t="inlineStr">
        <is>
          <t>VÅRGÅRDA</t>
        </is>
      </c>
      <c r="G52" t="n">
        <v>0.6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5152-2024</t>
        </is>
      </c>
      <c r="B53" s="1" t="n">
        <v>45330.49232638889</v>
      </c>
      <c r="C53" s="1" t="n">
        <v>46140</v>
      </c>
      <c r="D53" t="inlineStr">
        <is>
          <t>VÄSTRA GÖTALANDS LÄN</t>
        </is>
      </c>
      <c r="E53" t="inlineStr">
        <is>
          <t>VÅRGÅRDA</t>
        </is>
      </c>
      <c r="G53" t="n">
        <v>0.7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30038-2021</t>
        </is>
      </c>
      <c r="B54" s="1" t="n">
        <v>44363.45402777778</v>
      </c>
      <c r="C54" s="1" t="n">
        <v>46140</v>
      </c>
      <c r="D54" t="inlineStr">
        <is>
          <t>VÄSTRA GÖTALANDS LÄN</t>
        </is>
      </c>
      <c r="E54" t="inlineStr">
        <is>
          <t>VÅRGÅRDA</t>
        </is>
      </c>
      <c r="G54" t="n">
        <v>0.6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20454-2025</t>
        </is>
      </c>
      <c r="B55" s="1" t="n">
        <v>45775.50877314815</v>
      </c>
      <c r="C55" s="1" t="n">
        <v>46140</v>
      </c>
      <c r="D55" t="inlineStr">
        <is>
          <t>VÄSTRA GÖTALANDS LÄN</t>
        </is>
      </c>
      <c r="E55" t="inlineStr">
        <is>
          <t>VÅRGÅRDA</t>
        </is>
      </c>
      <c r="G55" t="n">
        <v>0.8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20456-2025</t>
        </is>
      </c>
      <c r="B56" s="1" t="n">
        <v>45775.51363425926</v>
      </c>
      <c r="C56" s="1" t="n">
        <v>46140</v>
      </c>
      <c r="D56" t="inlineStr">
        <is>
          <t>VÄSTRA GÖTALANDS LÄN</t>
        </is>
      </c>
      <c r="E56" t="inlineStr">
        <is>
          <t>VÅRGÅRDA</t>
        </is>
      </c>
      <c r="G56" t="n">
        <v>1.8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12990-2024</t>
        </is>
      </c>
      <c r="B57" s="1" t="n">
        <v>45385.55565972222</v>
      </c>
      <c r="C57" s="1" t="n">
        <v>46140</v>
      </c>
      <c r="D57" t="inlineStr">
        <is>
          <t>VÄSTRA GÖTALANDS LÄN</t>
        </is>
      </c>
      <c r="E57" t="inlineStr">
        <is>
          <t>VÅRGÅRDA</t>
        </is>
      </c>
      <c r="G57" t="n">
        <v>0.3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20169-2025</t>
        </is>
      </c>
      <c r="B58" s="1" t="n">
        <v>45772.57777777778</v>
      </c>
      <c r="C58" s="1" t="n">
        <v>46140</v>
      </c>
      <c r="D58" t="inlineStr">
        <is>
          <t>VÄSTRA GÖTALANDS LÄN</t>
        </is>
      </c>
      <c r="E58" t="inlineStr">
        <is>
          <t>VÅRGÅRDA</t>
        </is>
      </c>
      <c r="G58" t="n">
        <v>2.1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15236-2024</t>
        </is>
      </c>
      <c r="B59" s="1" t="n">
        <v>45400</v>
      </c>
      <c r="C59" s="1" t="n">
        <v>46140</v>
      </c>
      <c r="D59" t="inlineStr">
        <is>
          <t>VÄSTRA GÖTALANDS LÄN</t>
        </is>
      </c>
      <c r="E59" t="inlineStr">
        <is>
          <t>VÅRGÅRDA</t>
        </is>
      </c>
      <c r="G59" t="n">
        <v>1.1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4548-2024</t>
        </is>
      </c>
      <c r="B60" s="1" t="n">
        <v>45327.7147800926</v>
      </c>
      <c r="C60" s="1" t="n">
        <v>46140</v>
      </c>
      <c r="D60" t="inlineStr">
        <is>
          <t>VÄSTRA GÖTALANDS LÄN</t>
        </is>
      </c>
      <c r="E60" t="inlineStr">
        <is>
          <t>VÅRGÅRDA</t>
        </is>
      </c>
      <c r="G60" t="n">
        <v>1.2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62535-2023</t>
        </is>
      </c>
      <c r="B61" s="1" t="n">
        <v>45268</v>
      </c>
      <c r="C61" s="1" t="n">
        <v>46140</v>
      </c>
      <c r="D61" t="inlineStr">
        <is>
          <t>VÄSTRA GÖTALANDS LÄN</t>
        </is>
      </c>
      <c r="E61" t="inlineStr">
        <is>
          <t>VÅRGÅRDA</t>
        </is>
      </c>
      <c r="G61" t="n">
        <v>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38046-2022</t>
        </is>
      </c>
      <c r="B62" s="1" t="n">
        <v>44811.64700231481</v>
      </c>
      <c r="C62" s="1" t="n">
        <v>46140</v>
      </c>
      <c r="D62" t="inlineStr">
        <is>
          <t>VÄSTRA GÖTALANDS LÄN</t>
        </is>
      </c>
      <c r="E62" t="inlineStr">
        <is>
          <t>VÅRGÅRDA</t>
        </is>
      </c>
      <c r="G62" t="n">
        <v>2.2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65946-2021</t>
        </is>
      </c>
      <c r="B63" s="1" t="n">
        <v>44517</v>
      </c>
      <c r="C63" s="1" t="n">
        <v>46140</v>
      </c>
      <c r="D63" t="inlineStr">
        <is>
          <t>VÄSTRA GÖTALANDS LÄN</t>
        </is>
      </c>
      <c r="E63" t="inlineStr">
        <is>
          <t>VÅRGÅRDA</t>
        </is>
      </c>
      <c r="G63" t="n">
        <v>0.7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21875-2024</t>
        </is>
      </c>
      <c r="B64" s="1" t="n">
        <v>45443.38331018519</v>
      </c>
      <c r="C64" s="1" t="n">
        <v>46140</v>
      </c>
      <c r="D64" t="inlineStr">
        <is>
          <t>VÄSTRA GÖTALANDS LÄN</t>
        </is>
      </c>
      <c r="E64" t="inlineStr">
        <is>
          <t>VÅRGÅRDA</t>
        </is>
      </c>
      <c r="G64" t="n">
        <v>0.5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21932-2024</t>
        </is>
      </c>
      <c r="B65" s="1" t="n">
        <v>45443</v>
      </c>
      <c r="C65" s="1" t="n">
        <v>46140</v>
      </c>
      <c r="D65" t="inlineStr">
        <is>
          <t>VÄSTRA GÖTALANDS LÄN</t>
        </is>
      </c>
      <c r="E65" t="inlineStr">
        <is>
          <t>VÅRGÅRDA</t>
        </is>
      </c>
      <c r="G65" t="n">
        <v>0.6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57860-2023</t>
        </is>
      </c>
      <c r="B66" s="1" t="n">
        <v>45247.44261574074</v>
      </c>
      <c r="C66" s="1" t="n">
        <v>46140</v>
      </c>
      <c r="D66" t="inlineStr">
        <is>
          <t>VÄSTRA GÖTALANDS LÄN</t>
        </is>
      </c>
      <c r="E66" t="inlineStr">
        <is>
          <t>VÅRGÅRDA</t>
        </is>
      </c>
      <c r="G66" t="n">
        <v>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50160-2022</t>
        </is>
      </c>
      <c r="B67" s="1" t="n">
        <v>44865.58923611111</v>
      </c>
      <c r="C67" s="1" t="n">
        <v>46140</v>
      </c>
      <c r="D67" t="inlineStr">
        <is>
          <t>VÄSTRA GÖTALANDS LÄN</t>
        </is>
      </c>
      <c r="E67" t="inlineStr">
        <is>
          <t>VÅRGÅRDA</t>
        </is>
      </c>
      <c r="G67" t="n">
        <v>0.9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45978-2022</t>
        </is>
      </c>
      <c r="B68" s="1" t="n">
        <v>44846.69284722222</v>
      </c>
      <c r="C68" s="1" t="n">
        <v>46140</v>
      </c>
      <c r="D68" t="inlineStr">
        <is>
          <t>VÄSTRA GÖTALANDS LÄN</t>
        </is>
      </c>
      <c r="E68" t="inlineStr">
        <is>
          <t>VÅRGÅRDA</t>
        </is>
      </c>
      <c r="G68" t="n">
        <v>2.1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17195-2025</t>
        </is>
      </c>
      <c r="B69" s="1" t="n">
        <v>45756.40695601852</v>
      </c>
      <c r="C69" s="1" t="n">
        <v>46140</v>
      </c>
      <c r="D69" t="inlineStr">
        <is>
          <t>VÄSTRA GÖTALANDS LÄN</t>
        </is>
      </c>
      <c r="E69" t="inlineStr">
        <is>
          <t>VÅRGÅRDA</t>
        </is>
      </c>
      <c r="G69" t="n">
        <v>0.7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2345-2023</t>
        </is>
      </c>
      <c r="B70" s="1" t="n">
        <v>44942</v>
      </c>
      <c r="C70" s="1" t="n">
        <v>46140</v>
      </c>
      <c r="D70" t="inlineStr">
        <is>
          <t>VÄSTRA GÖTALANDS LÄN</t>
        </is>
      </c>
      <c r="E70" t="inlineStr">
        <is>
          <t>VÅRGÅRDA</t>
        </is>
      </c>
      <c r="G70" t="n">
        <v>1.7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59225-2023</t>
        </is>
      </c>
      <c r="B71" s="1" t="n">
        <v>45253</v>
      </c>
      <c r="C71" s="1" t="n">
        <v>46140</v>
      </c>
      <c r="D71" t="inlineStr">
        <is>
          <t>VÄSTRA GÖTALANDS LÄN</t>
        </is>
      </c>
      <c r="E71" t="inlineStr">
        <is>
          <t>VÅRGÅRDA</t>
        </is>
      </c>
      <c r="G71" t="n">
        <v>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62097-2022</t>
        </is>
      </c>
      <c r="B72" s="1" t="n">
        <v>44920</v>
      </c>
      <c r="C72" s="1" t="n">
        <v>46140</v>
      </c>
      <c r="D72" t="inlineStr">
        <is>
          <t>VÄSTRA GÖTALANDS LÄN</t>
        </is>
      </c>
      <c r="E72" t="inlineStr">
        <is>
          <t>VÅRGÅRDA</t>
        </is>
      </c>
      <c r="G72" t="n">
        <v>2.5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39000-2023</t>
        </is>
      </c>
      <c r="B73" s="1" t="n">
        <v>45163.67079861111</v>
      </c>
      <c r="C73" s="1" t="n">
        <v>46140</v>
      </c>
      <c r="D73" t="inlineStr">
        <is>
          <t>VÄSTRA GÖTALANDS LÄN</t>
        </is>
      </c>
      <c r="E73" t="inlineStr">
        <is>
          <t>VÅRGÅRDA</t>
        </is>
      </c>
      <c r="G73" t="n">
        <v>0.9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9721-2023</t>
        </is>
      </c>
      <c r="B74" s="1" t="n">
        <v>44984</v>
      </c>
      <c r="C74" s="1" t="n">
        <v>46140</v>
      </c>
      <c r="D74" t="inlineStr">
        <is>
          <t>VÄSTRA GÖTALANDS LÄN</t>
        </is>
      </c>
      <c r="E74" t="inlineStr">
        <is>
          <t>VÅRGÅRDA</t>
        </is>
      </c>
      <c r="G74" t="n">
        <v>1.7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9090-2024</t>
        </is>
      </c>
      <c r="B75" s="1" t="n">
        <v>45357.90923611111</v>
      </c>
      <c r="C75" s="1" t="n">
        <v>46140</v>
      </c>
      <c r="D75" t="inlineStr">
        <is>
          <t>VÄSTRA GÖTALANDS LÄN</t>
        </is>
      </c>
      <c r="E75" t="inlineStr">
        <is>
          <t>VÅRGÅRDA</t>
        </is>
      </c>
      <c r="G75" t="n">
        <v>0.6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8983-2024</t>
        </is>
      </c>
      <c r="B76" s="1" t="n">
        <v>45356</v>
      </c>
      <c r="C76" s="1" t="n">
        <v>46140</v>
      </c>
      <c r="D76" t="inlineStr">
        <is>
          <t>VÄSTRA GÖTALANDS LÄN</t>
        </is>
      </c>
      <c r="E76" t="inlineStr">
        <is>
          <t>VÅRGÅRDA</t>
        </is>
      </c>
      <c r="G76" t="n">
        <v>2.1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58074-2022</t>
        </is>
      </c>
      <c r="B77" s="1" t="n">
        <v>44900.61518518518</v>
      </c>
      <c r="C77" s="1" t="n">
        <v>46140</v>
      </c>
      <c r="D77" t="inlineStr">
        <is>
          <t>VÄSTRA GÖTALANDS LÄN</t>
        </is>
      </c>
      <c r="E77" t="inlineStr">
        <is>
          <t>VÅRGÅRDA</t>
        </is>
      </c>
      <c r="G77" t="n">
        <v>0.7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7962-2024</t>
        </is>
      </c>
      <c r="B78" s="1" t="n">
        <v>45350.57357638889</v>
      </c>
      <c r="C78" s="1" t="n">
        <v>46140</v>
      </c>
      <c r="D78" t="inlineStr">
        <is>
          <t>VÄSTRA GÖTALANDS LÄN</t>
        </is>
      </c>
      <c r="E78" t="inlineStr">
        <is>
          <t>VÅRGÅRDA</t>
        </is>
      </c>
      <c r="G78" t="n">
        <v>1.9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15421-2024</t>
        </is>
      </c>
      <c r="B79" s="1" t="n">
        <v>45401.36530092593</v>
      </c>
      <c r="C79" s="1" t="n">
        <v>46140</v>
      </c>
      <c r="D79" t="inlineStr">
        <is>
          <t>VÄSTRA GÖTALANDS LÄN</t>
        </is>
      </c>
      <c r="E79" t="inlineStr">
        <is>
          <t>VÅRGÅRDA</t>
        </is>
      </c>
      <c r="G79" t="n">
        <v>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16281-2025</t>
        </is>
      </c>
      <c r="B80" s="1" t="n">
        <v>45751.29027777778</v>
      </c>
      <c r="C80" s="1" t="n">
        <v>46140</v>
      </c>
      <c r="D80" t="inlineStr">
        <is>
          <t>VÄSTRA GÖTALANDS LÄN</t>
        </is>
      </c>
      <c r="E80" t="inlineStr">
        <is>
          <t>VÅRGÅRDA</t>
        </is>
      </c>
      <c r="F80" t="inlineStr">
        <is>
          <t>Sveaskog</t>
        </is>
      </c>
      <c r="G80" t="n">
        <v>2.8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16283-2025</t>
        </is>
      </c>
      <c r="B81" s="1" t="n">
        <v>45751.29266203703</v>
      </c>
      <c r="C81" s="1" t="n">
        <v>46140</v>
      </c>
      <c r="D81" t="inlineStr">
        <is>
          <t>VÄSTRA GÖTALANDS LÄN</t>
        </is>
      </c>
      <c r="E81" t="inlineStr">
        <is>
          <t>VÅRGÅRDA</t>
        </is>
      </c>
      <c r="F81" t="inlineStr">
        <is>
          <t>Sveaskog</t>
        </is>
      </c>
      <c r="G81" t="n">
        <v>2.6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6525-2025</t>
        </is>
      </c>
      <c r="B82" s="1" t="n">
        <v>45699.66690972223</v>
      </c>
      <c r="C82" s="1" t="n">
        <v>46140</v>
      </c>
      <c r="D82" t="inlineStr">
        <is>
          <t>VÄSTRA GÖTALANDS LÄN</t>
        </is>
      </c>
      <c r="E82" t="inlineStr">
        <is>
          <t>VÅRGÅRDA</t>
        </is>
      </c>
      <c r="G82" t="n">
        <v>1.9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59684-2022</t>
        </is>
      </c>
      <c r="B83" s="1" t="n">
        <v>44908</v>
      </c>
      <c r="C83" s="1" t="n">
        <v>46140</v>
      </c>
      <c r="D83" t="inlineStr">
        <is>
          <t>VÄSTRA GÖTALANDS LÄN</t>
        </is>
      </c>
      <c r="E83" t="inlineStr">
        <is>
          <t>VÅRGÅRDA</t>
        </is>
      </c>
      <c r="F83" t="inlineStr">
        <is>
          <t>Sveaskog</t>
        </is>
      </c>
      <c r="G83" t="n">
        <v>4.1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49751-2023</t>
        </is>
      </c>
      <c r="B84" s="1" t="n">
        <v>45212.52082175926</v>
      </c>
      <c r="C84" s="1" t="n">
        <v>46140</v>
      </c>
      <c r="D84" t="inlineStr">
        <is>
          <t>VÄSTRA GÖTALANDS LÄN</t>
        </is>
      </c>
      <c r="E84" t="inlineStr">
        <is>
          <t>VÅRGÅRDA</t>
        </is>
      </c>
      <c r="G84" t="n">
        <v>11.5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3756-2023</t>
        </is>
      </c>
      <c r="B85" s="1" t="n">
        <v>44951.47405092593</v>
      </c>
      <c r="C85" s="1" t="n">
        <v>46140</v>
      </c>
      <c r="D85" t="inlineStr">
        <is>
          <t>VÄSTRA GÖTALANDS LÄN</t>
        </is>
      </c>
      <c r="E85" t="inlineStr">
        <is>
          <t>VÅRGÅRDA</t>
        </is>
      </c>
      <c r="G85" t="n">
        <v>5.2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61904-2022</t>
        </is>
      </c>
      <c r="B86" s="1" t="n">
        <v>44917.73387731481</v>
      </c>
      <c r="C86" s="1" t="n">
        <v>46140</v>
      </c>
      <c r="D86" t="inlineStr">
        <is>
          <t>VÄSTRA GÖTALANDS LÄN</t>
        </is>
      </c>
      <c r="E86" t="inlineStr">
        <is>
          <t>VÅRGÅRDA</t>
        </is>
      </c>
      <c r="F86" t="inlineStr">
        <is>
          <t>Kyrkan</t>
        </is>
      </c>
      <c r="G86" t="n">
        <v>4.3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61907-2022</t>
        </is>
      </c>
      <c r="B87" s="1" t="n">
        <v>44917.73603009259</v>
      </c>
      <c r="C87" s="1" t="n">
        <v>46140</v>
      </c>
      <c r="D87" t="inlineStr">
        <is>
          <t>VÄSTRA GÖTALANDS LÄN</t>
        </is>
      </c>
      <c r="E87" t="inlineStr">
        <is>
          <t>VÅRGÅRDA</t>
        </is>
      </c>
      <c r="F87" t="inlineStr">
        <is>
          <t>Kyrkan</t>
        </is>
      </c>
      <c r="G87" t="n">
        <v>3.2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59381-2022</t>
        </is>
      </c>
      <c r="B88" s="1" t="n">
        <v>44905.46840277778</v>
      </c>
      <c r="C88" s="1" t="n">
        <v>46140</v>
      </c>
      <c r="D88" t="inlineStr">
        <is>
          <t>VÄSTRA GÖTALANDS LÄN</t>
        </is>
      </c>
      <c r="E88" t="inlineStr">
        <is>
          <t>VÅRGÅRDA</t>
        </is>
      </c>
      <c r="G88" t="n">
        <v>1.3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49455-2023</t>
        </is>
      </c>
      <c r="B89" s="1" t="n">
        <v>45211.50127314815</v>
      </c>
      <c r="C89" s="1" t="n">
        <v>46140</v>
      </c>
      <c r="D89" t="inlineStr">
        <is>
          <t>VÄSTRA GÖTALANDS LÄN</t>
        </is>
      </c>
      <c r="E89" t="inlineStr">
        <is>
          <t>VÅRGÅRDA</t>
        </is>
      </c>
      <c r="G89" t="n">
        <v>1.6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50958-2023</t>
        </is>
      </c>
      <c r="B90" s="1" t="n">
        <v>45210</v>
      </c>
      <c r="C90" s="1" t="n">
        <v>46140</v>
      </c>
      <c r="D90" t="inlineStr">
        <is>
          <t>VÄSTRA GÖTALANDS LÄN</t>
        </is>
      </c>
      <c r="E90" t="inlineStr">
        <is>
          <t>VÅRGÅRDA</t>
        </is>
      </c>
      <c r="F90" t="inlineStr">
        <is>
          <t>Allmännings- och besparingsskogar</t>
        </is>
      </c>
      <c r="G90" t="n">
        <v>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10586-2024</t>
        </is>
      </c>
      <c r="B91" s="1" t="n">
        <v>45366.69975694444</v>
      </c>
      <c r="C91" s="1" t="n">
        <v>46140</v>
      </c>
      <c r="D91" t="inlineStr">
        <is>
          <t>VÄSTRA GÖTALANDS LÄN</t>
        </is>
      </c>
      <c r="E91" t="inlineStr">
        <is>
          <t>VÅRGÅRDA</t>
        </is>
      </c>
      <c r="G91" t="n">
        <v>1.4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50053-2024</t>
        </is>
      </c>
      <c r="B92" s="1" t="n">
        <v>45600.33508101852</v>
      </c>
      <c r="C92" s="1" t="n">
        <v>46140</v>
      </c>
      <c r="D92" t="inlineStr">
        <is>
          <t>VÄSTRA GÖTALANDS LÄN</t>
        </is>
      </c>
      <c r="E92" t="inlineStr">
        <is>
          <t>VÅRGÅRDA</t>
        </is>
      </c>
      <c r="G92" t="n">
        <v>1.6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24064-2022</t>
        </is>
      </c>
      <c r="B93" s="1" t="n">
        <v>44725.32741898148</v>
      </c>
      <c r="C93" s="1" t="n">
        <v>46140</v>
      </c>
      <c r="D93" t="inlineStr">
        <is>
          <t>VÄSTRA GÖTALANDS LÄN</t>
        </is>
      </c>
      <c r="E93" t="inlineStr">
        <is>
          <t>VÅRGÅRDA</t>
        </is>
      </c>
      <c r="G93" t="n">
        <v>0.7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1262-2023</t>
        </is>
      </c>
      <c r="B94" s="1" t="n">
        <v>44936.39234953704</v>
      </c>
      <c r="C94" s="1" t="n">
        <v>46140</v>
      </c>
      <c r="D94" t="inlineStr">
        <is>
          <t>VÄSTRA GÖTALANDS LÄN</t>
        </is>
      </c>
      <c r="E94" t="inlineStr">
        <is>
          <t>VÅRGÅRDA</t>
        </is>
      </c>
      <c r="G94" t="n">
        <v>4.1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30674-2023</t>
        </is>
      </c>
      <c r="B95" s="1" t="n">
        <v>45112</v>
      </c>
      <c r="C95" s="1" t="n">
        <v>46140</v>
      </c>
      <c r="D95" t="inlineStr">
        <is>
          <t>VÄSTRA GÖTALANDS LÄN</t>
        </is>
      </c>
      <c r="E95" t="inlineStr">
        <is>
          <t>VÅRGÅRDA</t>
        </is>
      </c>
      <c r="G95" t="n">
        <v>2.4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36838-2025</t>
        </is>
      </c>
      <c r="B96" s="1" t="n">
        <v>45874.37011574074</v>
      </c>
      <c r="C96" s="1" t="n">
        <v>46140</v>
      </c>
      <c r="D96" t="inlineStr">
        <is>
          <t>VÄSTRA GÖTALANDS LÄN</t>
        </is>
      </c>
      <c r="E96" t="inlineStr">
        <is>
          <t>VÅRGÅRDA</t>
        </is>
      </c>
      <c r="G96" t="n">
        <v>3.2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36641-2025</t>
        </is>
      </c>
      <c r="B97" s="1" t="n">
        <v>45871.43119212963</v>
      </c>
      <c r="C97" s="1" t="n">
        <v>46140</v>
      </c>
      <c r="D97" t="inlineStr">
        <is>
          <t>VÄSTRA GÖTALANDS LÄN</t>
        </is>
      </c>
      <c r="E97" t="inlineStr">
        <is>
          <t>VÅRGÅRDA</t>
        </is>
      </c>
      <c r="G97" t="n">
        <v>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20807-2025</t>
        </is>
      </c>
      <c r="B98" s="1" t="n">
        <v>45776.65706018519</v>
      </c>
      <c r="C98" s="1" t="n">
        <v>46140</v>
      </c>
      <c r="D98" t="inlineStr">
        <is>
          <t>VÄSTRA GÖTALANDS LÄN</t>
        </is>
      </c>
      <c r="E98" t="inlineStr">
        <is>
          <t>VÅRGÅRDA</t>
        </is>
      </c>
      <c r="F98" t="inlineStr">
        <is>
          <t>Kommuner</t>
        </is>
      </c>
      <c r="G98" t="n">
        <v>1.7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36974-2024</t>
        </is>
      </c>
      <c r="B99" s="1" t="n">
        <v>45538.89228009259</v>
      </c>
      <c r="C99" s="1" t="n">
        <v>46140</v>
      </c>
      <c r="D99" t="inlineStr">
        <is>
          <t>VÄSTRA GÖTALANDS LÄN</t>
        </is>
      </c>
      <c r="E99" t="inlineStr">
        <is>
          <t>VÅRGÅRDA</t>
        </is>
      </c>
      <c r="G99" t="n">
        <v>1.5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22515-2022</t>
        </is>
      </c>
      <c r="B100" s="1" t="n">
        <v>44713.68042824074</v>
      </c>
      <c r="C100" s="1" t="n">
        <v>46140</v>
      </c>
      <c r="D100" t="inlineStr">
        <is>
          <t>VÄSTRA GÖTALANDS LÄN</t>
        </is>
      </c>
      <c r="E100" t="inlineStr">
        <is>
          <t>VÅRGÅRDA</t>
        </is>
      </c>
      <c r="G100" t="n">
        <v>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22517-2022</t>
        </is>
      </c>
      <c r="B101" s="1" t="n">
        <v>44713.68208333333</v>
      </c>
      <c r="C101" s="1" t="n">
        <v>46140</v>
      </c>
      <c r="D101" t="inlineStr">
        <is>
          <t>VÄSTRA GÖTALANDS LÄN</t>
        </is>
      </c>
      <c r="E101" t="inlineStr">
        <is>
          <t>VÅRGÅRDA</t>
        </is>
      </c>
      <c r="G101" t="n">
        <v>2.3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8895-2023</t>
        </is>
      </c>
      <c r="B102" s="1" t="n">
        <v>44979</v>
      </c>
      <c r="C102" s="1" t="n">
        <v>46140</v>
      </c>
      <c r="D102" t="inlineStr">
        <is>
          <t>VÄSTRA GÖTALANDS LÄN</t>
        </is>
      </c>
      <c r="E102" t="inlineStr">
        <is>
          <t>VÅRGÅRDA</t>
        </is>
      </c>
      <c r="F102" t="inlineStr">
        <is>
          <t>Sveaskog</t>
        </is>
      </c>
      <c r="G102" t="n">
        <v>4.6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42552-2024</t>
        </is>
      </c>
      <c r="B103" s="1" t="n">
        <v>45565.61814814815</v>
      </c>
      <c r="C103" s="1" t="n">
        <v>46140</v>
      </c>
      <c r="D103" t="inlineStr">
        <is>
          <t>VÄSTRA GÖTALANDS LÄN</t>
        </is>
      </c>
      <c r="E103" t="inlineStr">
        <is>
          <t>VÅRGÅRDA</t>
        </is>
      </c>
      <c r="G103" t="n">
        <v>4.6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14786-2024</t>
        </is>
      </c>
      <c r="B104" s="1" t="n">
        <v>45397.76206018519</v>
      </c>
      <c r="C104" s="1" t="n">
        <v>46140</v>
      </c>
      <c r="D104" t="inlineStr">
        <is>
          <t>VÄSTRA GÖTALANDS LÄN</t>
        </is>
      </c>
      <c r="E104" t="inlineStr">
        <is>
          <t>VÅRGÅRDA</t>
        </is>
      </c>
      <c r="G104" t="n">
        <v>1.7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39372-2025</t>
        </is>
      </c>
      <c r="B105" s="1" t="n">
        <v>45889.58609953704</v>
      </c>
      <c r="C105" s="1" t="n">
        <v>46140</v>
      </c>
      <c r="D105" t="inlineStr">
        <is>
          <t>VÄSTRA GÖTALANDS LÄN</t>
        </is>
      </c>
      <c r="E105" t="inlineStr">
        <is>
          <t>VÅRGÅRDA</t>
        </is>
      </c>
      <c r="G105" t="n">
        <v>1.1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39375-2025</t>
        </is>
      </c>
      <c r="B106" s="1" t="n">
        <v>45889.58944444444</v>
      </c>
      <c r="C106" s="1" t="n">
        <v>46140</v>
      </c>
      <c r="D106" t="inlineStr">
        <is>
          <t>VÄSTRA GÖTALANDS LÄN</t>
        </is>
      </c>
      <c r="E106" t="inlineStr">
        <is>
          <t>VÅRGÅRDA</t>
        </is>
      </c>
      <c r="G106" t="n">
        <v>0.9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39419-2025</t>
        </is>
      </c>
      <c r="B107" s="1" t="n">
        <v>45889.66032407407</v>
      </c>
      <c r="C107" s="1" t="n">
        <v>46140</v>
      </c>
      <c r="D107" t="inlineStr">
        <is>
          <t>VÄSTRA GÖTALANDS LÄN</t>
        </is>
      </c>
      <c r="E107" t="inlineStr">
        <is>
          <t>VÅRGÅRDA</t>
        </is>
      </c>
      <c r="G107" t="n">
        <v>1.8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5523-2023</t>
        </is>
      </c>
      <c r="B108" s="1" t="n">
        <v>44960</v>
      </c>
      <c r="C108" s="1" t="n">
        <v>46140</v>
      </c>
      <c r="D108" t="inlineStr">
        <is>
          <t>VÄSTRA GÖTALANDS LÄN</t>
        </is>
      </c>
      <c r="E108" t="inlineStr">
        <is>
          <t>VÅRGÅRDA</t>
        </is>
      </c>
      <c r="G108" t="n">
        <v>2.4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39416-2025</t>
        </is>
      </c>
      <c r="B109" s="1" t="n">
        <v>45889</v>
      </c>
      <c r="C109" s="1" t="n">
        <v>46140</v>
      </c>
      <c r="D109" t="inlineStr">
        <is>
          <t>VÄSTRA GÖTALANDS LÄN</t>
        </is>
      </c>
      <c r="E109" t="inlineStr">
        <is>
          <t>VÅRGÅRDA</t>
        </is>
      </c>
      <c r="G109" t="n">
        <v>3.8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19308-2025</t>
        </is>
      </c>
      <c r="B110" s="1" t="n">
        <v>45769.56891203704</v>
      </c>
      <c r="C110" s="1" t="n">
        <v>46140</v>
      </c>
      <c r="D110" t="inlineStr">
        <is>
          <t>VÄSTRA GÖTALANDS LÄN</t>
        </is>
      </c>
      <c r="E110" t="inlineStr">
        <is>
          <t>VÅRGÅRDA</t>
        </is>
      </c>
      <c r="F110" t="inlineStr">
        <is>
          <t>Kommuner</t>
        </is>
      </c>
      <c r="G110" t="n">
        <v>1.1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39929-2025</t>
        </is>
      </c>
      <c r="B111" s="1" t="n">
        <v>45891.69728009259</v>
      </c>
      <c r="C111" s="1" t="n">
        <v>46140</v>
      </c>
      <c r="D111" t="inlineStr">
        <is>
          <t>VÄSTRA GÖTALANDS LÄN</t>
        </is>
      </c>
      <c r="E111" t="inlineStr">
        <is>
          <t>VÅRGÅRDA</t>
        </is>
      </c>
      <c r="G111" t="n">
        <v>3.1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39843-2025</t>
        </is>
      </c>
      <c r="B112" s="1" t="n">
        <v>45891</v>
      </c>
      <c r="C112" s="1" t="n">
        <v>46140</v>
      </c>
      <c r="D112" t="inlineStr">
        <is>
          <t>VÄSTRA GÖTALANDS LÄN</t>
        </is>
      </c>
      <c r="E112" t="inlineStr">
        <is>
          <t>VÅRGÅRDA</t>
        </is>
      </c>
      <c r="G112" t="n">
        <v>2.9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40239-2025</t>
        </is>
      </c>
      <c r="B113" s="1" t="n">
        <v>45894.84497685185</v>
      </c>
      <c r="C113" s="1" t="n">
        <v>46140</v>
      </c>
      <c r="D113" t="inlineStr">
        <is>
          <t>VÄSTRA GÖTALANDS LÄN</t>
        </is>
      </c>
      <c r="E113" t="inlineStr">
        <is>
          <t>VÅRGÅRDA</t>
        </is>
      </c>
      <c r="G113" t="n">
        <v>0.8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40650-2025</t>
        </is>
      </c>
      <c r="B114" s="1" t="n">
        <v>45896.6321875</v>
      </c>
      <c r="C114" s="1" t="n">
        <v>46140</v>
      </c>
      <c r="D114" t="inlineStr">
        <is>
          <t>VÄSTRA GÖTALANDS LÄN</t>
        </is>
      </c>
      <c r="E114" t="inlineStr">
        <is>
          <t>VÅRGÅRDA</t>
        </is>
      </c>
      <c r="G114" t="n">
        <v>4.5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20260-2021</t>
        </is>
      </c>
      <c r="B115" s="1" t="n">
        <v>44314</v>
      </c>
      <c r="C115" s="1" t="n">
        <v>46140</v>
      </c>
      <c r="D115" t="inlineStr">
        <is>
          <t>VÄSTRA GÖTALANDS LÄN</t>
        </is>
      </c>
      <c r="E115" t="inlineStr">
        <is>
          <t>VÅRGÅRDA</t>
        </is>
      </c>
      <c r="F115" t="inlineStr">
        <is>
          <t>Kyrkan</t>
        </is>
      </c>
      <c r="G115" t="n">
        <v>1.1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52097-2024</t>
        </is>
      </c>
      <c r="B116" s="1" t="n">
        <v>45608.4153125</v>
      </c>
      <c r="C116" s="1" t="n">
        <v>46140</v>
      </c>
      <c r="D116" t="inlineStr">
        <is>
          <t>VÄSTRA GÖTALANDS LÄN</t>
        </is>
      </c>
      <c r="E116" t="inlineStr">
        <is>
          <t>VÅRGÅRDA</t>
        </is>
      </c>
      <c r="G116" t="n">
        <v>10.9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40955-2025</t>
        </is>
      </c>
      <c r="B117" s="1" t="n">
        <v>45897.67510416666</v>
      </c>
      <c r="C117" s="1" t="n">
        <v>46140</v>
      </c>
      <c r="D117" t="inlineStr">
        <is>
          <t>VÄSTRA GÖTALANDS LÄN</t>
        </is>
      </c>
      <c r="E117" t="inlineStr">
        <is>
          <t>VÅRGÅRDA</t>
        </is>
      </c>
      <c r="G117" t="n">
        <v>2.6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41724-2025</t>
        </is>
      </c>
      <c r="B118" s="1" t="n">
        <v>45902.4534375</v>
      </c>
      <c r="C118" s="1" t="n">
        <v>46140</v>
      </c>
      <c r="D118" t="inlineStr">
        <is>
          <t>VÄSTRA GÖTALANDS LÄN</t>
        </is>
      </c>
      <c r="E118" t="inlineStr">
        <is>
          <t>VÅRGÅRDA</t>
        </is>
      </c>
      <c r="G118" t="n">
        <v>0.6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8268-2025</t>
        </is>
      </c>
      <c r="B119" s="1" t="n">
        <v>45708.51210648148</v>
      </c>
      <c r="C119" s="1" t="n">
        <v>46140</v>
      </c>
      <c r="D119" t="inlineStr">
        <is>
          <t>VÄSTRA GÖTALANDS LÄN</t>
        </is>
      </c>
      <c r="E119" t="inlineStr">
        <is>
          <t>VÅRGÅRDA</t>
        </is>
      </c>
      <c r="G119" t="n">
        <v>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41590-2025</t>
        </is>
      </c>
      <c r="B120" s="1" t="n">
        <v>45901.63255787037</v>
      </c>
      <c r="C120" s="1" t="n">
        <v>46140</v>
      </c>
      <c r="D120" t="inlineStr">
        <is>
          <t>VÄSTRA GÖTALANDS LÄN</t>
        </is>
      </c>
      <c r="E120" t="inlineStr">
        <is>
          <t>VÅRGÅRDA</t>
        </is>
      </c>
      <c r="G120" t="n">
        <v>1.7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41625-2025</t>
        </is>
      </c>
      <c r="B121" s="1" t="n">
        <v>45901.7124537037</v>
      </c>
      <c r="C121" s="1" t="n">
        <v>46140</v>
      </c>
      <c r="D121" t="inlineStr">
        <is>
          <t>VÄSTRA GÖTALANDS LÄN</t>
        </is>
      </c>
      <c r="E121" t="inlineStr">
        <is>
          <t>VÅRGÅRDA</t>
        </is>
      </c>
      <c r="G121" t="n">
        <v>5.4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41593-2025</t>
        </is>
      </c>
      <c r="B122" s="1" t="n">
        <v>45901.63788194444</v>
      </c>
      <c r="C122" s="1" t="n">
        <v>46140</v>
      </c>
      <c r="D122" t="inlineStr">
        <is>
          <t>VÄSTRA GÖTALANDS LÄN</t>
        </is>
      </c>
      <c r="E122" t="inlineStr">
        <is>
          <t>VÅRGÅRDA</t>
        </is>
      </c>
      <c r="G122" t="n">
        <v>1.7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35055-2025</t>
        </is>
      </c>
      <c r="B123" s="1" t="n">
        <v>45852</v>
      </c>
      <c r="C123" s="1" t="n">
        <v>46140</v>
      </c>
      <c r="D123" t="inlineStr">
        <is>
          <t>VÄSTRA GÖTALANDS LÄN</t>
        </is>
      </c>
      <c r="E123" t="inlineStr">
        <is>
          <t>VÅRGÅRDA</t>
        </is>
      </c>
      <c r="G123" t="n">
        <v>0.1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42646-2025</t>
        </is>
      </c>
      <c r="B124" s="1" t="n">
        <v>45906.48516203704</v>
      </c>
      <c r="C124" s="1" t="n">
        <v>46140</v>
      </c>
      <c r="D124" t="inlineStr">
        <is>
          <t>VÄSTRA GÖTALANDS LÄN</t>
        </is>
      </c>
      <c r="E124" t="inlineStr">
        <is>
          <t>VÅRGÅRDA</t>
        </is>
      </c>
      <c r="G124" t="n">
        <v>2.8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1122-2025</t>
        </is>
      </c>
      <c r="B125" s="1" t="n">
        <v>45666.66532407407</v>
      </c>
      <c r="C125" s="1" t="n">
        <v>46140</v>
      </c>
      <c r="D125" t="inlineStr">
        <is>
          <t>VÄSTRA GÖTALANDS LÄN</t>
        </is>
      </c>
      <c r="E125" t="inlineStr">
        <is>
          <t>VÅRGÅRDA</t>
        </is>
      </c>
      <c r="G125" t="n">
        <v>3.6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43337-2025</t>
        </is>
      </c>
      <c r="B126" s="1" t="n">
        <v>45910.73006944444</v>
      </c>
      <c r="C126" s="1" t="n">
        <v>46140</v>
      </c>
      <c r="D126" t="inlineStr">
        <is>
          <t>VÄSTRA GÖTALANDS LÄN</t>
        </is>
      </c>
      <c r="E126" t="inlineStr">
        <is>
          <t>VÅRGÅRDA</t>
        </is>
      </c>
      <c r="G126" t="n">
        <v>1.1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43314-2025</t>
        </is>
      </c>
      <c r="B127" s="1" t="n">
        <v>45910</v>
      </c>
      <c r="C127" s="1" t="n">
        <v>46140</v>
      </c>
      <c r="D127" t="inlineStr">
        <is>
          <t>VÄSTRA GÖTALANDS LÄN</t>
        </is>
      </c>
      <c r="E127" t="inlineStr">
        <is>
          <t>VÅRGÅRDA</t>
        </is>
      </c>
      <c r="F127" t="inlineStr">
        <is>
          <t>Allmännings- och besparingsskogar</t>
        </is>
      </c>
      <c r="G127" t="n">
        <v>2.3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9725-2023</t>
        </is>
      </c>
      <c r="B128" s="1" t="n">
        <v>44984</v>
      </c>
      <c r="C128" s="1" t="n">
        <v>46140</v>
      </c>
      <c r="D128" t="inlineStr">
        <is>
          <t>VÄSTRA GÖTALANDS LÄN</t>
        </is>
      </c>
      <c r="E128" t="inlineStr">
        <is>
          <t>VÅRGÅRDA</t>
        </is>
      </c>
      <c r="G128" t="n">
        <v>4.4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43214-2025</t>
        </is>
      </c>
      <c r="B129" s="1" t="n">
        <v>45910</v>
      </c>
      <c r="C129" s="1" t="n">
        <v>46140</v>
      </c>
      <c r="D129" t="inlineStr">
        <is>
          <t>VÄSTRA GÖTALANDS LÄN</t>
        </is>
      </c>
      <c r="E129" t="inlineStr">
        <is>
          <t>VÅRGÅRDA</t>
        </is>
      </c>
      <c r="F129" t="inlineStr">
        <is>
          <t>Allmännings- och besparingsskogar</t>
        </is>
      </c>
      <c r="G129" t="n">
        <v>13.8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46732-2023</t>
        </is>
      </c>
      <c r="B130" s="1" t="n">
        <v>45198.59054398148</v>
      </c>
      <c r="C130" s="1" t="n">
        <v>46140</v>
      </c>
      <c r="D130" t="inlineStr">
        <is>
          <t>VÄSTRA GÖTALANDS LÄN</t>
        </is>
      </c>
      <c r="E130" t="inlineStr">
        <is>
          <t>VÅRGÅRDA</t>
        </is>
      </c>
      <c r="F130" t="inlineStr">
        <is>
          <t>Kyrkan</t>
        </is>
      </c>
      <c r="G130" t="n">
        <v>1.8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11484-2025</t>
        </is>
      </c>
      <c r="B131" s="1" t="n">
        <v>45726.69502314815</v>
      </c>
      <c r="C131" s="1" t="n">
        <v>46140</v>
      </c>
      <c r="D131" t="inlineStr">
        <is>
          <t>VÄSTRA GÖTALANDS LÄN</t>
        </is>
      </c>
      <c r="E131" t="inlineStr">
        <is>
          <t>VÅRGÅRDA</t>
        </is>
      </c>
      <c r="G131" t="n">
        <v>0.5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43593-2025</t>
        </is>
      </c>
      <c r="B132" s="1" t="n">
        <v>45911.65733796296</v>
      </c>
      <c r="C132" s="1" t="n">
        <v>46140</v>
      </c>
      <c r="D132" t="inlineStr">
        <is>
          <t>VÄSTRA GÖTALANDS LÄN</t>
        </is>
      </c>
      <c r="E132" t="inlineStr">
        <is>
          <t>VÅRGÅRDA</t>
        </is>
      </c>
      <c r="G132" t="n">
        <v>1.6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30362-2024</t>
        </is>
      </c>
      <c r="B133" s="1" t="n">
        <v>45491.35975694445</v>
      </c>
      <c r="C133" s="1" t="n">
        <v>46140</v>
      </c>
      <c r="D133" t="inlineStr">
        <is>
          <t>VÄSTRA GÖTALANDS LÄN</t>
        </is>
      </c>
      <c r="E133" t="inlineStr">
        <is>
          <t>VÅRGÅRDA</t>
        </is>
      </c>
      <c r="G133" t="n">
        <v>2.5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24785-2023</t>
        </is>
      </c>
      <c r="B134" s="1" t="n">
        <v>45084.67194444445</v>
      </c>
      <c r="C134" s="1" t="n">
        <v>46140</v>
      </c>
      <c r="D134" t="inlineStr">
        <is>
          <t>VÄSTRA GÖTALANDS LÄN</t>
        </is>
      </c>
      <c r="E134" t="inlineStr">
        <is>
          <t>VÅRGÅRDA</t>
        </is>
      </c>
      <c r="G134" t="n">
        <v>2.6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54937-2022</t>
        </is>
      </c>
      <c r="B135" s="1" t="n">
        <v>44881</v>
      </c>
      <c r="C135" s="1" t="n">
        <v>46140</v>
      </c>
      <c r="D135" t="inlineStr">
        <is>
          <t>VÄSTRA GÖTALANDS LÄN</t>
        </is>
      </c>
      <c r="E135" t="inlineStr">
        <is>
          <t>VÅRGÅRDA</t>
        </is>
      </c>
      <c r="G135" t="n">
        <v>2.6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37424-2021</t>
        </is>
      </c>
      <c r="B136" s="1" t="n">
        <v>44398.48474537037</v>
      </c>
      <c r="C136" s="1" t="n">
        <v>46140</v>
      </c>
      <c r="D136" t="inlineStr">
        <is>
          <t>VÄSTRA GÖTALANDS LÄN</t>
        </is>
      </c>
      <c r="E136" t="inlineStr">
        <is>
          <t>VÅRGÅRDA</t>
        </is>
      </c>
      <c r="G136" t="n">
        <v>0.8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45293-2025</t>
        </is>
      </c>
      <c r="B137" s="1" t="n">
        <v>45920.43634259259</v>
      </c>
      <c r="C137" s="1" t="n">
        <v>46140</v>
      </c>
      <c r="D137" t="inlineStr">
        <is>
          <t>VÄSTRA GÖTALANDS LÄN</t>
        </is>
      </c>
      <c r="E137" t="inlineStr">
        <is>
          <t>VÅRGÅRDA</t>
        </is>
      </c>
      <c r="G137" t="n">
        <v>1.8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17527-2025</t>
        </is>
      </c>
      <c r="B138" s="1" t="n">
        <v>45757.58712962963</v>
      </c>
      <c r="C138" s="1" t="n">
        <v>46140</v>
      </c>
      <c r="D138" t="inlineStr">
        <is>
          <t>VÄSTRA GÖTALANDS LÄN</t>
        </is>
      </c>
      <c r="E138" t="inlineStr">
        <is>
          <t>VÅRGÅRDA</t>
        </is>
      </c>
      <c r="G138" t="n">
        <v>3.1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45292-2025</t>
        </is>
      </c>
      <c r="B139" s="1" t="n">
        <v>45920.43488425926</v>
      </c>
      <c r="C139" s="1" t="n">
        <v>46140</v>
      </c>
      <c r="D139" t="inlineStr">
        <is>
          <t>VÄSTRA GÖTALANDS LÄN</t>
        </is>
      </c>
      <c r="E139" t="inlineStr">
        <is>
          <t>VÅRGÅRDA</t>
        </is>
      </c>
      <c r="G139" t="n">
        <v>2.1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2917-2023</t>
        </is>
      </c>
      <c r="B140" s="1" t="n">
        <v>44943</v>
      </c>
      <c r="C140" s="1" t="n">
        <v>46140</v>
      </c>
      <c r="D140" t="inlineStr">
        <is>
          <t>VÄSTRA GÖTALANDS LÄN</t>
        </is>
      </c>
      <c r="E140" t="inlineStr">
        <is>
          <t>VÅRGÅRDA</t>
        </is>
      </c>
      <c r="G140" t="n">
        <v>2.2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45853-2025</t>
        </is>
      </c>
      <c r="B141" s="1" t="n">
        <v>45923.6297337963</v>
      </c>
      <c r="C141" s="1" t="n">
        <v>46140</v>
      </c>
      <c r="D141" t="inlineStr">
        <is>
          <t>VÄSTRA GÖTALANDS LÄN</t>
        </is>
      </c>
      <c r="E141" t="inlineStr">
        <is>
          <t>VÅRGÅRDA</t>
        </is>
      </c>
      <c r="G141" t="n">
        <v>2.1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46233-2025</t>
        </is>
      </c>
      <c r="B142" s="1" t="n">
        <v>45925.29270833333</v>
      </c>
      <c r="C142" s="1" t="n">
        <v>46140</v>
      </c>
      <c r="D142" t="inlineStr">
        <is>
          <t>VÄSTRA GÖTALANDS LÄN</t>
        </is>
      </c>
      <c r="E142" t="inlineStr">
        <is>
          <t>VÅRGÅRDA</t>
        </is>
      </c>
      <c r="G142" t="n">
        <v>3.1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46234-2025</t>
        </is>
      </c>
      <c r="B143" s="1" t="n">
        <v>45925.29591435185</v>
      </c>
      <c r="C143" s="1" t="n">
        <v>46140</v>
      </c>
      <c r="D143" t="inlineStr">
        <is>
          <t>VÄSTRA GÖTALANDS LÄN</t>
        </is>
      </c>
      <c r="E143" t="inlineStr">
        <is>
          <t>VÅRGÅRDA</t>
        </is>
      </c>
      <c r="G143" t="n">
        <v>2.2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46237-2025</t>
        </is>
      </c>
      <c r="B144" s="1" t="n">
        <v>45925.30956018518</v>
      </c>
      <c r="C144" s="1" t="n">
        <v>46140</v>
      </c>
      <c r="D144" t="inlineStr">
        <is>
          <t>VÄSTRA GÖTALANDS LÄN</t>
        </is>
      </c>
      <c r="E144" t="inlineStr">
        <is>
          <t>VÅRGÅRDA</t>
        </is>
      </c>
      <c r="G144" t="n">
        <v>14.2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46108-2021</t>
        </is>
      </c>
      <c r="B145" s="1" t="n">
        <v>44442.36792824074</v>
      </c>
      <c r="C145" s="1" t="n">
        <v>46140</v>
      </c>
      <c r="D145" t="inlineStr">
        <is>
          <t>VÄSTRA GÖTALANDS LÄN</t>
        </is>
      </c>
      <c r="E145" t="inlineStr">
        <is>
          <t>VÅRGÅRDA</t>
        </is>
      </c>
      <c r="G145" t="n">
        <v>0.3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47169-2025</t>
        </is>
      </c>
      <c r="B146" s="1" t="n">
        <v>45929.91121527777</v>
      </c>
      <c r="C146" s="1" t="n">
        <v>46140</v>
      </c>
      <c r="D146" t="inlineStr">
        <is>
          <t>VÄSTRA GÖTALANDS LÄN</t>
        </is>
      </c>
      <c r="E146" t="inlineStr">
        <is>
          <t>VÅRGÅRDA</t>
        </is>
      </c>
      <c r="G146" t="n">
        <v>0.8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19319-2025</t>
        </is>
      </c>
      <c r="B147" s="1" t="n">
        <v>45769.57847222222</v>
      </c>
      <c r="C147" s="1" t="n">
        <v>46140</v>
      </c>
      <c r="D147" t="inlineStr">
        <is>
          <t>VÄSTRA GÖTALANDS LÄN</t>
        </is>
      </c>
      <c r="E147" t="inlineStr">
        <is>
          <t>VÅRGÅRDA</t>
        </is>
      </c>
      <c r="G147" t="n">
        <v>0.9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46833-2025</t>
        </is>
      </c>
      <c r="B148" s="1" t="n">
        <v>45927.68620370371</v>
      </c>
      <c r="C148" s="1" t="n">
        <v>46140</v>
      </c>
      <c r="D148" t="inlineStr">
        <is>
          <t>VÄSTRA GÖTALANDS LÄN</t>
        </is>
      </c>
      <c r="E148" t="inlineStr">
        <is>
          <t>VÅRGÅRDA</t>
        </is>
      </c>
      <c r="G148" t="n">
        <v>0.9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46823-2025</t>
        </is>
      </c>
      <c r="B149" s="1" t="n">
        <v>45926.79550925926</v>
      </c>
      <c r="C149" s="1" t="n">
        <v>46140</v>
      </c>
      <c r="D149" t="inlineStr">
        <is>
          <t>VÄSTRA GÖTALANDS LÄN</t>
        </is>
      </c>
      <c r="E149" t="inlineStr">
        <is>
          <t>VÅRGÅRDA</t>
        </is>
      </c>
      <c r="G149" t="n">
        <v>2.4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20475-2023</t>
        </is>
      </c>
      <c r="B150" s="1" t="n">
        <v>45057</v>
      </c>
      <c r="C150" s="1" t="n">
        <v>46140</v>
      </c>
      <c r="D150" t="inlineStr">
        <is>
          <t>VÄSTRA GÖTALANDS LÄN</t>
        </is>
      </c>
      <c r="E150" t="inlineStr">
        <is>
          <t>VÅRGÅRDA</t>
        </is>
      </c>
      <c r="G150" t="n">
        <v>3.1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48452-2025</t>
        </is>
      </c>
      <c r="B151" s="1" t="n">
        <v>45935.79104166666</v>
      </c>
      <c r="C151" s="1" t="n">
        <v>46140</v>
      </c>
      <c r="D151" t="inlineStr">
        <is>
          <t>VÄSTRA GÖTALANDS LÄN</t>
        </is>
      </c>
      <c r="E151" t="inlineStr">
        <is>
          <t>VÅRGÅRDA</t>
        </is>
      </c>
      <c r="G151" t="n">
        <v>3.4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48099-2025</t>
        </is>
      </c>
      <c r="B152" s="1" t="n">
        <v>45933.33207175926</v>
      </c>
      <c r="C152" s="1" t="n">
        <v>46140</v>
      </c>
      <c r="D152" t="inlineStr">
        <is>
          <t>VÄSTRA GÖTALANDS LÄN</t>
        </is>
      </c>
      <c r="E152" t="inlineStr">
        <is>
          <t>VÅRGÅRDA</t>
        </is>
      </c>
      <c r="G152" t="n">
        <v>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16282-2025</t>
        </is>
      </c>
      <c r="B153" s="1" t="n">
        <v>45751.29126157407</v>
      </c>
      <c r="C153" s="1" t="n">
        <v>46140</v>
      </c>
      <c r="D153" t="inlineStr">
        <is>
          <t>VÄSTRA GÖTALANDS LÄN</t>
        </is>
      </c>
      <c r="E153" t="inlineStr">
        <is>
          <t>VÅRGÅRDA</t>
        </is>
      </c>
      <c r="F153" t="inlineStr">
        <is>
          <t>Sveaskog</t>
        </is>
      </c>
      <c r="G153" t="n">
        <v>0.8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54587-2023</t>
        </is>
      </c>
      <c r="B154" s="1" t="n">
        <v>45233</v>
      </c>
      <c r="C154" s="1" t="n">
        <v>46140</v>
      </c>
      <c r="D154" t="inlineStr">
        <is>
          <t>VÄSTRA GÖTALANDS LÄN</t>
        </is>
      </c>
      <c r="E154" t="inlineStr">
        <is>
          <t>VÅRGÅRDA</t>
        </is>
      </c>
      <c r="G154" t="n">
        <v>0.5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48094-2025</t>
        </is>
      </c>
      <c r="B155" s="1" t="n">
        <v>45933.33019675926</v>
      </c>
      <c r="C155" s="1" t="n">
        <v>46140</v>
      </c>
      <c r="D155" t="inlineStr">
        <is>
          <t>VÄSTRA GÖTALANDS LÄN</t>
        </is>
      </c>
      <c r="E155" t="inlineStr">
        <is>
          <t>VÅRGÅRDA</t>
        </is>
      </c>
      <c r="G155" t="n">
        <v>1.5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48104-2025</t>
        </is>
      </c>
      <c r="B156" s="1" t="n">
        <v>45933.3422337963</v>
      </c>
      <c r="C156" s="1" t="n">
        <v>46140</v>
      </c>
      <c r="D156" t="inlineStr">
        <is>
          <t>VÄSTRA GÖTALANDS LÄN</t>
        </is>
      </c>
      <c r="E156" t="inlineStr">
        <is>
          <t>VÅRGÅRDA</t>
        </is>
      </c>
      <c r="G156" t="n">
        <v>1.8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10655-2025</t>
        </is>
      </c>
      <c r="B157" s="1" t="n">
        <v>45721.69958333333</v>
      </c>
      <c r="C157" s="1" t="n">
        <v>46140</v>
      </c>
      <c r="D157" t="inlineStr">
        <is>
          <t>VÄSTRA GÖTALANDS LÄN</t>
        </is>
      </c>
      <c r="E157" t="inlineStr">
        <is>
          <t>VÅRGÅRDA</t>
        </is>
      </c>
      <c r="G157" t="n">
        <v>2.1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48081-2025</t>
        </is>
      </c>
      <c r="B158" s="1" t="n">
        <v>45932.77</v>
      </c>
      <c r="C158" s="1" t="n">
        <v>46140</v>
      </c>
      <c r="D158" t="inlineStr">
        <is>
          <t>VÄSTRA GÖTALANDS LÄN</t>
        </is>
      </c>
      <c r="E158" t="inlineStr">
        <is>
          <t>VÅRGÅRDA</t>
        </is>
      </c>
      <c r="G158" t="n">
        <v>1.7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48082-2025</t>
        </is>
      </c>
      <c r="B159" s="1" t="n">
        <v>45932.77143518518</v>
      </c>
      <c r="C159" s="1" t="n">
        <v>46140</v>
      </c>
      <c r="D159" t="inlineStr">
        <is>
          <t>VÄSTRA GÖTALANDS LÄN</t>
        </is>
      </c>
      <c r="E159" t="inlineStr">
        <is>
          <t>VÅRGÅRDA</t>
        </is>
      </c>
      <c r="G159" t="n">
        <v>1.4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48080-2025</t>
        </is>
      </c>
      <c r="B160" s="1" t="n">
        <v>45932.7685300926</v>
      </c>
      <c r="C160" s="1" t="n">
        <v>46140</v>
      </c>
      <c r="D160" t="inlineStr">
        <is>
          <t>VÄSTRA GÖTALANDS LÄN</t>
        </is>
      </c>
      <c r="E160" t="inlineStr">
        <is>
          <t>VÅRGÅRDA</t>
        </is>
      </c>
      <c r="G160" t="n">
        <v>1.4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48100-2025</t>
        </is>
      </c>
      <c r="B161" s="1" t="n">
        <v>45933.33457175926</v>
      </c>
      <c r="C161" s="1" t="n">
        <v>46140</v>
      </c>
      <c r="D161" t="inlineStr">
        <is>
          <t>VÄSTRA GÖTALANDS LÄN</t>
        </is>
      </c>
      <c r="E161" t="inlineStr">
        <is>
          <t>VÅRGÅRDA</t>
        </is>
      </c>
      <c r="G161" t="n">
        <v>1.8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46944-2021</t>
        </is>
      </c>
      <c r="B162" s="1" t="n">
        <v>44446.51780092593</v>
      </c>
      <c r="C162" s="1" t="n">
        <v>46140</v>
      </c>
      <c r="D162" t="inlineStr">
        <is>
          <t>VÄSTRA GÖTALANDS LÄN</t>
        </is>
      </c>
      <c r="E162" t="inlineStr">
        <is>
          <t>VÅRGÅRDA</t>
        </is>
      </c>
      <c r="G162" t="n">
        <v>1.8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48760-2025</t>
        </is>
      </c>
      <c r="B163" s="1" t="n">
        <v>45936.77475694445</v>
      </c>
      <c r="C163" s="1" t="n">
        <v>46140</v>
      </c>
      <c r="D163" t="inlineStr">
        <is>
          <t>VÄSTRA GÖTALANDS LÄN</t>
        </is>
      </c>
      <c r="E163" t="inlineStr">
        <is>
          <t>VÅRGÅRDA</t>
        </is>
      </c>
      <c r="G163" t="n">
        <v>1.2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16587-2025</t>
        </is>
      </c>
      <c r="B164" s="1" t="n">
        <v>45752.87754629629</v>
      </c>
      <c r="C164" s="1" t="n">
        <v>46140</v>
      </c>
      <c r="D164" t="inlineStr">
        <is>
          <t>VÄSTRA GÖTALANDS LÄN</t>
        </is>
      </c>
      <c r="E164" t="inlineStr">
        <is>
          <t>VÅRGÅRDA</t>
        </is>
      </c>
      <c r="G164" t="n">
        <v>3.1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48955-2025</t>
        </is>
      </c>
      <c r="B165" s="1" t="n">
        <v>45937</v>
      </c>
      <c r="C165" s="1" t="n">
        <v>46140</v>
      </c>
      <c r="D165" t="inlineStr">
        <is>
          <t>VÄSTRA GÖTALANDS LÄN</t>
        </is>
      </c>
      <c r="E165" t="inlineStr">
        <is>
          <t>VÅRGÅRDA</t>
        </is>
      </c>
      <c r="G165" t="n">
        <v>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49431-2025</t>
        </is>
      </c>
      <c r="B166" s="1" t="n">
        <v>45938.845</v>
      </c>
      <c r="C166" s="1" t="n">
        <v>46140</v>
      </c>
      <c r="D166" t="inlineStr">
        <is>
          <t>VÄSTRA GÖTALANDS LÄN</t>
        </is>
      </c>
      <c r="E166" t="inlineStr">
        <is>
          <t>VÅRGÅRDA</t>
        </is>
      </c>
      <c r="G166" t="n">
        <v>1.6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34133-2022</t>
        </is>
      </c>
      <c r="B167" s="1" t="n">
        <v>44791.52582175926</v>
      </c>
      <c r="C167" s="1" t="n">
        <v>46140</v>
      </c>
      <c r="D167" t="inlineStr">
        <is>
          <t>VÄSTRA GÖTALANDS LÄN</t>
        </is>
      </c>
      <c r="E167" t="inlineStr">
        <is>
          <t>VÅRGÅRDA</t>
        </is>
      </c>
      <c r="G167" t="n">
        <v>3.8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49598-2025</t>
        </is>
      </c>
      <c r="B168" s="1" t="n">
        <v>45939.53748842593</v>
      </c>
      <c r="C168" s="1" t="n">
        <v>46140</v>
      </c>
      <c r="D168" t="inlineStr">
        <is>
          <t>VÄSTRA GÖTALANDS LÄN</t>
        </is>
      </c>
      <c r="E168" t="inlineStr">
        <is>
          <t>VÅRGÅRDA</t>
        </is>
      </c>
      <c r="G168" t="n">
        <v>3.9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49855-2025</t>
        </is>
      </c>
      <c r="B169" s="1" t="n">
        <v>45940.50458333334</v>
      </c>
      <c r="C169" s="1" t="n">
        <v>46140</v>
      </c>
      <c r="D169" t="inlineStr">
        <is>
          <t>VÄSTRA GÖTALANDS LÄN</t>
        </is>
      </c>
      <c r="E169" t="inlineStr">
        <is>
          <t>VÅRGÅRDA</t>
        </is>
      </c>
      <c r="G169" t="n">
        <v>2.5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16284-2025</t>
        </is>
      </c>
      <c r="B170" s="1" t="n">
        <v>45751.29762731482</v>
      </c>
      <c r="C170" s="1" t="n">
        <v>46140</v>
      </c>
      <c r="D170" t="inlineStr">
        <is>
          <t>VÄSTRA GÖTALANDS LÄN</t>
        </is>
      </c>
      <c r="E170" t="inlineStr">
        <is>
          <t>VÅRGÅRDA</t>
        </is>
      </c>
      <c r="G170" t="n">
        <v>0.8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8195-2024</t>
        </is>
      </c>
      <c r="B171" s="1" t="n">
        <v>45351.66591435186</v>
      </c>
      <c r="C171" s="1" t="n">
        <v>46140</v>
      </c>
      <c r="D171" t="inlineStr">
        <is>
          <t>VÄSTRA GÖTALANDS LÄN</t>
        </is>
      </c>
      <c r="E171" t="inlineStr">
        <is>
          <t>VÅRGÅRDA</t>
        </is>
      </c>
      <c r="G171" t="n">
        <v>0.8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9863-2024</t>
        </is>
      </c>
      <c r="B172" s="1" t="n">
        <v>45363</v>
      </c>
      <c r="C172" s="1" t="n">
        <v>46140</v>
      </c>
      <c r="D172" t="inlineStr">
        <is>
          <t>VÄSTRA GÖTALANDS LÄN</t>
        </is>
      </c>
      <c r="E172" t="inlineStr">
        <is>
          <t>VÅRGÅRDA</t>
        </is>
      </c>
      <c r="G172" t="n">
        <v>0.8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50685-2025</t>
        </is>
      </c>
      <c r="B173" s="1" t="n">
        <v>45945.82289351852</v>
      </c>
      <c r="C173" s="1" t="n">
        <v>46140</v>
      </c>
      <c r="D173" t="inlineStr">
        <is>
          <t>VÄSTRA GÖTALANDS LÄN</t>
        </is>
      </c>
      <c r="E173" t="inlineStr">
        <is>
          <t>VÅRGÅRDA</t>
        </is>
      </c>
      <c r="G173" t="n">
        <v>1.5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51167-2025</t>
        </is>
      </c>
      <c r="B174" s="1" t="n">
        <v>45947.59884259259</v>
      </c>
      <c r="C174" s="1" t="n">
        <v>46140</v>
      </c>
      <c r="D174" t="inlineStr">
        <is>
          <t>VÄSTRA GÖTALANDS LÄN</t>
        </is>
      </c>
      <c r="E174" t="inlineStr">
        <is>
          <t>VÅRGÅRDA</t>
        </is>
      </c>
      <c r="G174" t="n">
        <v>2.7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51890-2025</t>
        </is>
      </c>
      <c r="B175" s="1" t="n">
        <v>45952.41594907407</v>
      </c>
      <c r="C175" s="1" t="n">
        <v>46140</v>
      </c>
      <c r="D175" t="inlineStr">
        <is>
          <t>VÄSTRA GÖTALANDS LÄN</t>
        </is>
      </c>
      <c r="E175" t="inlineStr">
        <is>
          <t>VÅRGÅRDA</t>
        </is>
      </c>
      <c r="G175" t="n">
        <v>1.1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64234-2021</t>
        </is>
      </c>
      <c r="B176" s="1" t="n">
        <v>44510.64112268519</v>
      </c>
      <c r="C176" s="1" t="n">
        <v>46140</v>
      </c>
      <c r="D176" t="inlineStr">
        <is>
          <t>VÄSTRA GÖTALANDS LÄN</t>
        </is>
      </c>
      <c r="E176" t="inlineStr">
        <is>
          <t>VÅRGÅRDA</t>
        </is>
      </c>
      <c r="G176" t="n">
        <v>1.4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11777-2024</t>
        </is>
      </c>
      <c r="B177" s="1" t="n">
        <v>45374.35063657408</v>
      </c>
      <c r="C177" s="1" t="n">
        <v>46140</v>
      </c>
      <c r="D177" t="inlineStr">
        <is>
          <t>VÄSTRA GÖTALANDS LÄN</t>
        </is>
      </c>
      <c r="E177" t="inlineStr">
        <is>
          <t>VÅRGÅRDA</t>
        </is>
      </c>
      <c r="G177" t="n">
        <v>0.7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11792-2024</t>
        </is>
      </c>
      <c r="B178" s="1" t="n">
        <v>45375</v>
      </c>
      <c r="C178" s="1" t="n">
        <v>46140</v>
      </c>
      <c r="D178" t="inlineStr">
        <is>
          <t>VÄSTRA GÖTALANDS LÄN</t>
        </is>
      </c>
      <c r="E178" t="inlineStr">
        <is>
          <t>VÅRGÅRDA</t>
        </is>
      </c>
      <c r="G178" t="n">
        <v>0.8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64386-2021</t>
        </is>
      </c>
      <c r="B179" s="1" t="n">
        <v>44511</v>
      </c>
      <c r="C179" s="1" t="n">
        <v>46140</v>
      </c>
      <c r="D179" t="inlineStr">
        <is>
          <t>VÄSTRA GÖTALANDS LÄN</t>
        </is>
      </c>
      <c r="E179" t="inlineStr">
        <is>
          <t>VÅRGÅRDA</t>
        </is>
      </c>
      <c r="G179" t="n">
        <v>3.7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30280-2023</t>
        </is>
      </c>
      <c r="B180" s="1" t="n">
        <v>45110.88763888889</v>
      </c>
      <c r="C180" s="1" t="n">
        <v>46140</v>
      </c>
      <c r="D180" t="inlineStr">
        <is>
          <t>VÄSTRA GÖTALANDS LÄN</t>
        </is>
      </c>
      <c r="E180" t="inlineStr">
        <is>
          <t>VÅRGÅRDA</t>
        </is>
      </c>
      <c r="G180" t="n">
        <v>0.6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9086-2024</t>
        </is>
      </c>
      <c r="B181" s="1" t="n">
        <v>45357.90260416667</v>
      </c>
      <c r="C181" s="1" t="n">
        <v>46140</v>
      </c>
      <c r="D181" t="inlineStr">
        <is>
          <t>VÄSTRA GÖTALANDS LÄN</t>
        </is>
      </c>
      <c r="E181" t="inlineStr">
        <is>
          <t>VÅRGÅRDA</t>
        </is>
      </c>
      <c r="G181" t="n">
        <v>5.8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9089-2024</t>
        </is>
      </c>
      <c r="B182" s="1" t="n">
        <v>45357.90612268518</v>
      </c>
      <c r="C182" s="1" t="n">
        <v>46140</v>
      </c>
      <c r="D182" t="inlineStr">
        <is>
          <t>VÄSTRA GÖTALANDS LÄN</t>
        </is>
      </c>
      <c r="E182" t="inlineStr">
        <is>
          <t>VÅRGÅRDA</t>
        </is>
      </c>
      <c r="G182" t="n">
        <v>0.7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21232-2023</t>
        </is>
      </c>
      <c r="B183" s="1" t="n">
        <v>45062.54716435185</v>
      </c>
      <c r="C183" s="1" t="n">
        <v>46140</v>
      </c>
      <c r="D183" t="inlineStr">
        <is>
          <t>VÄSTRA GÖTALANDS LÄN</t>
        </is>
      </c>
      <c r="E183" t="inlineStr">
        <is>
          <t>VÅRGÅRDA</t>
        </is>
      </c>
      <c r="G183" t="n">
        <v>0.6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22202-2024</t>
        </is>
      </c>
      <c r="B184" s="1" t="n">
        <v>45446.37318287037</v>
      </c>
      <c r="C184" s="1" t="n">
        <v>46140</v>
      </c>
      <c r="D184" t="inlineStr">
        <is>
          <t>VÄSTRA GÖTALANDS LÄN</t>
        </is>
      </c>
      <c r="E184" t="inlineStr">
        <is>
          <t>VÅRGÅRDA</t>
        </is>
      </c>
      <c r="G184" t="n">
        <v>2.1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60380-2022</t>
        </is>
      </c>
      <c r="B185" s="1" t="n">
        <v>44910.69658564815</v>
      </c>
      <c r="C185" s="1" t="n">
        <v>46140</v>
      </c>
      <c r="D185" t="inlineStr">
        <is>
          <t>VÄSTRA GÖTALANDS LÄN</t>
        </is>
      </c>
      <c r="E185" t="inlineStr">
        <is>
          <t>VÅRGÅRDA</t>
        </is>
      </c>
      <c r="G185" t="n">
        <v>0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33939-2023</t>
        </is>
      </c>
      <c r="B186" s="1" t="n">
        <v>45134.55792824074</v>
      </c>
      <c r="C186" s="1" t="n">
        <v>46140</v>
      </c>
      <c r="D186" t="inlineStr">
        <is>
          <t>VÄSTRA GÖTALANDS LÄN</t>
        </is>
      </c>
      <c r="E186" t="inlineStr">
        <is>
          <t>VÅRGÅRDA</t>
        </is>
      </c>
      <c r="G186" t="n">
        <v>0.7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9642-2025</t>
        </is>
      </c>
      <c r="B187" s="1" t="n">
        <v>45715.84020833333</v>
      </c>
      <c r="C187" s="1" t="n">
        <v>46140</v>
      </c>
      <c r="D187" t="inlineStr">
        <is>
          <t>VÄSTRA GÖTALANDS LÄN</t>
        </is>
      </c>
      <c r="E187" t="inlineStr">
        <is>
          <t>VÅRGÅRDA</t>
        </is>
      </c>
      <c r="G187" t="n">
        <v>1.2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51887-2025</t>
        </is>
      </c>
      <c r="B188" s="1" t="n">
        <v>45952</v>
      </c>
      <c r="C188" s="1" t="n">
        <v>46140</v>
      </c>
      <c r="D188" t="inlineStr">
        <is>
          <t>VÄSTRA GÖTALANDS LÄN</t>
        </is>
      </c>
      <c r="E188" t="inlineStr">
        <is>
          <t>VÅRGÅRDA</t>
        </is>
      </c>
      <c r="G188" t="n">
        <v>10.6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17951-2023</t>
        </is>
      </c>
      <c r="B189" s="1" t="n">
        <v>45040</v>
      </c>
      <c r="C189" s="1" t="n">
        <v>46140</v>
      </c>
      <c r="D189" t="inlineStr">
        <is>
          <t>VÄSTRA GÖTALANDS LÄN</t>
        </is>
      </c>
      <c r="E189" t="inlineStr">
        <is>
          <t>VÅRGÅRDA</t>
        </is>
      </c>
      <c r="G189" t="n">
        <v>1.8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17972-2023</t>
        </is>
      </c>
      <c r="B190" s="1" t="n">
        <v>45040</v>
      </c>
      <c r="C190" s="1" t="n">
        <v>46140</v>
      </c>
      <c r="D190" t="inlineStr">
        <is>
          <t>VÄSTRA GÖTALANDS LÄN</t>
        </is>
      </c>
      <c r="E190" t="inlineStr">
        <is>
          <t>VÅRGÅRDA</t>
        </is>
      </c>
      <c r="G190" t="n">
        <v>2.4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3619-2023</t>
        </is>
      </c>
      <c r="B191" s="1" t="n">
        <v>44950.63637731481</v>
      </c>
      <c r="C191" s="1" t="n">
        <v>46140</v>
      </c>
      <c r="D191" t="inlineStr">
        <is>
          <t>VÄSTRA GÖTALANDS LÄN</t>
        </is>
      </c>
      <c r="E191" t="inlineStr">
        <is>
          <t>VÅRGÅRDA</t>
        </is>
      </c>
      <c r="G191" t="n">
        <v>2.1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66386-2021</t>
        </is>
      </c>
      <c r="B192" s="1" t="n">
        <v>44518</v>
      </c>
      <c r="C192" s="1" t="n">
        <v>46140</v>
      </c>
      <c r="D192" t="inlineStr">
        <is>
          <t>VÄSTRA GÖTALANDS LÄN</t>
        </is>
      </c>
      <c r="E192" t="inlineStr">
        <is>
          <t>VÅRGÅRDA</t>
        </is>
      </c>
      <c r="G192" t="n">
        <v>0.9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55189-2025</t>
        </is>
      </c>
      <c r="B193" s="1" t="n">
        <v>45968.54363425926</v>
      </c>
      <c r="C193" s="1" t="n">
        <v>46140</v>
      </c>
      <c r="D193" t="inlineStr">
        <is>
          <t>VÄSTRA GÖTALANDS LÄN</t>
        </is>
      </c>
      <c r="E193" t="inlineStr">
        <is>
          <t>VÅRGÅRDA</t>
        </is>
      </c>
      <c r="G193" t="n">
        <v>2.7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55188-2025</t>
        </is>
      </c>
      <c r="B194" s="1" t="n">
        <v>45968.5422800926</v>
      </c>
      <c r="C194" s="1" t="n">
        <v>46140</v>
      </c>
      <c r="D194" t="inlineStr">
        <is>
          <t>VÄSTRA GÖTALANDS LÄN</t>
        </is>
      </c>
      <c r="E194" t="inlineStr">
        <is>
          <t>VÅRGÅRDA</t>
        </is>
      </c>
      <c r="G194" t="n">
        <v>2.8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55706-2025</t>
        </is>
      </c>
      <c r="B195" s="1" t="n">
        <v>45972.47302083333</v>
      </c>
      <c r="C195" s="1" t="n">
        <v>46140</v>
      </c>
      <c r="D195" t="inlineStr">
        <is>
          <t>VÄSTRA GÖTALANDS LÄN</t>
        </is>
      </c>
      <c r="E195" t="inlineStr">
        <is>
          <t>VÅRGÅRDA</t>
        </is>
      </c>
      <c r="G195" t="n">
        <v>4.1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55776-2025</t>
        </is>
      </c>
      <c r="B196" s="1" t="n">
        <v>45972</v>
      </c>
      <c r="C196" s="1" t="n">
        <v>46140</v>
      </c>
      <c r="D196" t="inlineStr">
        <is>
          <t>VÄSTRA GÖTALANDS LÄN</t>
        </is>
      </c>
      <c r="E196" t="inlineStr">
        <is>
          <t>VÅRGÅRDA</t>
        </is>
      </c>
      <c r="G196" t="n">
        <v>2.8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4550-2024</t>
        </is>
      </c>
      <c r="B197" s="1" t="n">
        <v>45327.71622685185</v>
      </c>
      <c r="C197" s="1" t="n">
        <v>46140</v>
      </c>
      <c r="D197" t="inlineStr">
        <is>
          <t>VÄSTRA GÖTALANDS LÄN</t>
        </is>
      </c>
      <c r="E197" t="inlineStr">
        <is>
          <t>VÅRGÅRDA</t>
        </is>
      </c>
      <c r="G197" t="n">
        <v>2.6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55992-2025</t>
        </is>
      </c>
      <c r="B198" s="1" t="n">
        <v>45973.55912037037</v>
      </c>
      <c r="C198" s="1" t="n">
        <v>46140</v>
      </c>
      <c r="D198" t="inlineStr">
        <is>
          <t>VÄSTRA GÖTALANDS LÄN</t>
        </is>
      </c>
      <c r="E198" t="inlineStr">
        <is>
          <t>VÅRGÅRDA</t>
        </is>
      </c>
      <c r="G198" t="n">
        <v>1.4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44668-2023</t>
        </is>
      </c>
      <c r="B199" s="1" t="n">
        <v>45189.72548611111</v>
      </c>
      <c r="C199" s="1" t="n">
        <v>46140</v>
      </c>
      <c r="D199" t="inlineStr">
        <is>
          <t>VÄSTRA GÖTALANDS LÄN</t>
        </is>
      </c>
      <c r="E199" t="inlineStr">
        <is>
          <t>VÅRGÅRDA</t>
        </is>
      </c>
      <c r="G199" t="n">
        <v>1.1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56379-2025</t>
        </is>
      </c>
      <c r="B200" s="1" t="n">
        <v>45974.70221064815</v>
      </c>
      <c r="C200" s="1" t="n">
        <v>46140</v>
      </c>
      <c r="D200" t="inlineStr">
        <is>
          <t>VÄSTRA GÖTALANDS LÄN</t>
        </is>
      </c>
      <c r="E200" t="inlineStr">
        <is>
          <t>VÅRGÅRDA</t>
        </is>
      </c>
      <c r="G200" t="n">
        <v>3.4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56381-2025</t>
        </is>
      </c>
      <c r="B201" s="1" t="n">
        <v>45974.7060300926</v>
      </c>
      <c r="C201" s="1" t="n">
        <v>46140</v>
      </c>
      <c r="D201" t="inlineStr">
        <is>
          <t>VÄSTRA GÖTALANDS LÄN</t>
        </is>
      </c>
      <c r="E201" t="inlineStr">
        <is>
          <t>VÅRGÅRDA</t>
        </is>
      </c>
      <c r="G201" t="n">
        <v>3.5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42330-2023</t>
        </is>
      </c>
      <c r="B202" s="1" t="n">
        <v>45180</v>
      </c>
      <c r="C202" s="1" t="n">
        <v>46140</v>
      </c>
      <c r="D202" t="inlineStr">
        <is>
          <t>VÄSTRA GÖTALANDS LÄN</t>
        </is>
      </c>
      <c r="E202" t="inlineStr">
        <is>
          <t>VÅRGÅRDA</t>
        </is>
      </c>
      <c r="G202" t="n">
        <v>0.6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57569-2025</t>
        </is>
      </c>
      <c r="B203" s="1" t="n">
        <v>45980.73299768518</v>
      </c>
      <c r="C203" s="1" t="n">
        <v>46140</v>
      </c>
      <c r="D203" t="inlineStr">
        <is>
          <t>VÄSTRA GÖTALANDS LÄN</t>
        </is>
      </c>
      <c r="E203" t="inlineStr">
        <is>
          <t>VÅRGÅRDA</t>
        </is>
      </c>
      <c r="G203" t="n">
        <v>1.6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57567-2025</t>
        </is>
      </c>
      <c r="B204" s="1" t="n">
        <v>45980.73072916667</v>
      </c>
      <c r="C204" s="1" t="n">
        <v>46140</v>
      </c>
      <c r="D204" t="inlineStr">
        <is>
          <t>VÄSTRA GÖTALANDS LÄN</t>
        </is>
      </c>
      <c r="E204" t="inlineStr">
        <is>
          <t>VÅRGÅRDA</t>
        </is>
      </c>
      <c r="G204" t="n">
        <v>2.1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60814-2024</t>
        </is>
      </c>
      <c r="B205" s="1" t="n">
        <v>45644.61975694444</v>
      </c>
      <c r="C205" s="1" t="n">
        <v>46140</v>
      </c>
      <c r="D205" t="inlineStr">
        <is>
          <t>VÄSTRA GÖTALANDS LÄN</t>
        </is>
      </c>
      <c r="E205" t="inlineStr">
        <is>
          <t>VÅRGÅRDA</t>
        </is>
      </c>
      <c r="G205" t="n">
        <v>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58398-2025</t>
        </is>
      </c>
      <c r="B206" s="1" t="n">
        <v>45985.56231481482</v>
      </c>
      <c r="C206" s="1" t="n">
        <v>46140</v>
      </c>
      <c r="D206" t="inlineStr">
        <is>
          <t>VÄSTRA GÖTALANDS LÄN</t>
        </is>
      </c>
      <c r="E206" t="inlineStr">
        <is>
          <t>VÅRGÅRDA</t>
        </is>
      </c>
      <c r="G206" t="n">
        <v>2.7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58444-2025</t>
        </is>
      </c>
      <c r="B207" s="1" t="n">
        <v>45985.61791666667</v>
      </c>
      <c r="C207" s="1" t="n">
        <v>46140</v>
      </c>
      <c r="D207" t="inlineStr">
        <is>
          <t>VÄSTRA GÖTALANDS LÄN</t>
        </is>
      </c>
      <c r="E207" t="inlineStr">
        <is>
          <t>VÅRGÅRDA</t>
        </is>
      </c>
      <c r="G207" t="n">
        <v>1.3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58443-2025</t>
        </is>
      </c>
      <c r="B208" s="1" t="n">
        <v>45985.61674768518</v>
      </c>
      <c r="C208" s="1" t="n">
        <v>46140</v>
      </c>
      <c r="D208" t="inlineStr">
        <is>
          <t>VÄSTRA GÖTALANDS LÄN</t>
        </is>
      </c>
      <c r="E208" t="inlineStr">
        <is>
          <t>VÅRGÅRDA</t>
        </is>
      </c>
      <c r="G208" t="n">
        <v>2.9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7734-2022</t>
        </is>
      </c>
      <c r="B209" s="1" t="n">
        <v>44608</v>
      </c>
      <c r="C209" s="1" t="n">
        <v>46140</v>
      </c>
      <c r="D209" t="inlineStr">
        <is>
          <t>VÄSTRA GÖTALANDS LÄN</t>
        </is>
      </c>
      <c r="E209" t="inlineStr">
        <is>
          <t>VÅRGÅRDA</t>
        </is>
      </c>
      <c r="G209" t="n">
        <v>2.7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58866-2025</t>
        </is>
      </c>
      <c r="B210" s="1" t="n">
        <v>45987.44790509259</v>
      </c>
      <c r="C210" s="1" t="n">
        <v>46140</v>
      </c>
      <c r="D210" t="inlineStr">
        <is>
          <t>VÄSTRA GÖTALANDS LÄN</t>
        </is>
      </c>
      <c r="E210" t="inlineStr">
        <is>
          <t>VÅRGÅRDA</t>
        </is>
      </c>
      <c r="G210" t="n">
        <v>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59156-2025</t>
        </is>
      </c>
      <c r="B211" s="1" t="n">
        <v>45988.54133101852</v>
      </c>
      <c r="C211" s="1" t="n">
        <v>46140</v>
      </c>
      <c r="D211" t="inlineStr">
        <is>
          <t>VÄSTRA GÖTALANDS LÄN</t>
        </is>
      </c>
      <c r="E211" t="inlineStr">
        <is>
          <t>VÅRGÅRDA</t>
        </is>
      </c>
      <c r="G211" t="n">
        <v>3.9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59042-2025</t>
        </is>
      </c>
      <c r="B212" s="1" t="n">
        <v>45988.37216435185</v>
      </c>
      <c r="C212" s="1" t="n">
        <v>46140</v>
      </c>
      <c r="D212" t="inlineStr">
        <is>
          <t>VÄSTRA GÖTALANDS LÄN</t>
        </is>
      </c>
      <c r="E212" t="inlineStr">
        <is>
          <t>VÅRGÅRDA</t>
        </is>
      </c>
      <c r="G212" t="n">
        <v>0.5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58833-2025</t>
        </is>
      </c>
      <c r="B213" s="1" t="n">
        <v>45987.35474537037</v>
      </c>
      <c r="C213" s="1" t="n">
        <v>46140</v>
      </c>
      <c r="D213" t="inlineStr">
        <is>
          <t>VÄSTRA GÖTALANDS LÄN</t>
        </is>
      </c>
      <c r="E213" t="inlineStr">
        <is>
          <t>VÅRGÅRDA</t>
        </is>
      </c>
      <c r="G213" t="n">
        <v>0.9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59508-2025</t>
        </is>
      </c>
      <c r="B214" s="1" t="n">
        <v>45989.64269675926</v>
      </c>
      <c r="C214" s="1" t="n">
        <v>46140</v>
      </c>
      <c r="D214" t="inlineStr">
        <is>
          <t>VÄSTRA GÖTALANDS LÄN</t>
        </is>
      </c>
      <c r="E214" t="inlineStr">
        <is>
          <t>VÅRGÅRDA</t>
        </is>
      </c>
      <c r="F214" t="inlineStr">
        <is>
          <t>Kyrkan</t>
        </is>
      </c>
      <c r="G214" t="n">
        <v>4.2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59317-2025</t>
        </is>
      </c>
      <c r="B215" s="1" t="n">
        <v>45989.32200231482</v>
      </c>
      <c r="C215" s="1" t="n">
        <v>46140</v>
      </c>
      <c r="D215" t="inlineStr">
        <is>
          <t>VÄSTRA GÖTALANDS LÄN</t>
        </is>
      </c>
      <c r="E215" t="inlineStr">
        <is>
          <t>VÅRGÅRDA</t>
        </is>
      </c>
      <c r="G215" t="n">
        <v>0.7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49357-2024</t>
        </is>
      </c>
      <c r="B216" s="1" t="n">
        <v>45595.61976851852</v>
      </c>
      <c r="C216" s="1" t="n">
        <v>46140</v>
      </c>
      <c r="D216" t="inlineStr">
        <is>
          <t>VÄSTRA GÖTALANDS LÄN</t>
        </is>
      </c>
      <c r="E216" t="inlineStr">
        <is>
          <t>VÅRGÅRDA</t>
        </is>
      </c>
      <c r="G216" t="n">
        <v>2.3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59309-2025</t>
        </is>
      </c>
      <c r="B217" s="1" t="n">
        <v>45989.27822916667</v>
      </c>
      <c r="C217" s="1" t="n">
        <v>46140</v>
      </c>
      <c r="D217" t="inlineStr">
        <is>
          <t>VÄSTRA GÖTALANDS LÄN</t>
        </is>
      </c>
      <c r="E217" t="inlineStr">
        <is>
          <t>VÅRGÅRDA</t>
        </is>
      </c>
      <c r="G217" t="n">
        <v>4.1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22386-2024</t>
        </is>
      </c>
      <c r="B218" s="1" t="n">
        <v>45446.66300925926</v>
      </c>
      <c r="C218" s="1" t="n">
        <v>46140</v>
      </c>
      <c r="D218" t="inlineStr">
        <is>
          <t>VÄSTRA GÖTALANDS LÄN</t>
        </is>
      </c>
      <c r="E218" t="inlineStr">
        <is>
          <t>VÅRGÅRDA</t>
        </is>
      </c>
      <c r="G218" t="n">
        <v>2.8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2052-2026</t>
        </is>
      </c>
      <c r="B219" s="1" t="n">
        <v>46031</v>
      </c>
      <c r="C219" s="1" t="n">
        <v>46140</v>
      </c>
      <c r="D219" t="inlineStr">
        <is>
          <t>VÄSTRA GÖTALANDS LÄN</t>
        </is>
      </c>
      <c r="E219" t="inlineStr">
        <is>
          <t>VÅRGÅRDA</t>
        </is>
      </c>
      <c r="F219" t="inlineStr">
        <is>
          <t>Övriga statliga verk och myndigheter</t>
        </is>
      </c>
      <c r="G219" t="n">
        <v>8.5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2051-2026</t>
        </is>
      </c>
      <c r="B220" s="1" t="n">
        <v>46031</v>
      </c>
      <c r="C220" s="1" t="n">
        <v>46140</v>
      </c>
      <c r="D220" t="inlineStr">
        <is>
          <t>VÄSTRA GÖTALANDS LÄN</t>
        </is>
      </c>
      <c r="E220" t="inlineStr">
        <is>
          <t>VÅRGÅRDA</t>
        </is>
      </c>
      <c r="F220" t="inlineStr">
        <is>
          <t>Övriga statliga verk och myndigheter</t>
        </is>
      </c>
      <c r="G220" t="n">
        <v>3.8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60802-2025</t>
        </is>
      </c>
      <c r="B221" s="1" t="n">
        <v>45999.43222222223</v>
      </c>
      <c r="C221" s="1" t="n">
        <v>46140</v>
      </c>
      <c r="D221" t="inlineStr">
        <is>
          <t>VÄSTRA GÖTALANDS LÄN</t>
        </is>
      </c>
      <c r="E221" t="inlineStr">
        <is>
          <t>VÅRGÅRDA</t>
        </is>
      </c>
      <c r="G221" t="n">
        <v>1.3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60981-2025</t>
        </is>
      </c>
      <c r="B222" s="1" t="n">
        <v>45999.70361111111</v>
      </c>
      <c r="C222" s="1" t="n">
        <v>46140</v>
      </c>
      <c r="D222" t="inlineStr">
        <is>
          <t>VÄSTRA GÖTALANDS LÄN</t>
        </is>
      </c>
      <c r="E222" t="inlineStr">
        <is>
          <t>VÅRGÅRDA</t>
        </is>
      </c>
      <c r="G222" t="n">
        <v>3.3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47583-2024</t>
        </is>
      </c>
      <c r="B223" s="1" t="n">
        <v>45587.77702546296</v>
      </c>
      <c r="C223" s="1" t="n">
        <v>46140</v>
      </c>
      <c r="D223" t="inlineStr">
        <is>
          <t>VÄSTRA GÖTALANDS LÄN</t>
        </is>
      </c>
      <c r="E223" t="inlineStr">
        <is>
          <t>VÅRGÅRDA</t>
        </is>
      </c>
      <c r="F223" t="inlineStr">
        <is>
          <t>Kyrkan</t>
        </is>
      </c>
      <c r="G223" t="n">
        <v>1.3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60975-2025</t>
        </is>
      </c>
      <c r="B224" s="1" t="n">
        <v>45999.69570601852</v>
      </c>
      <c r="C224" s="1" t="n">
        <v>46140</v>
      </c>
      <c r="D224" t="inlineStr">
        <is>
          <t>VÄSTRA GÖTALANDS LÄN</t>
        </is>
      </c>
      <c r="E224" t="inlineStr">
        <is>
          <t>VÅRGÅRDA</t>
        </is>
      </c>
      <c r="G224" t="n">
        <v>1.4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60985-2025</t>
        </is>
      </c>
      <c r="B225" s="1" t="n">
        <v>45999.70759259259</v>
      </c>
      <c r="C225" s="1" t="n">
        <v>46140</v>
      </c>
      <c r="D225" t="inlineStr">
        <is>
          <t>VÄSTRA GÖTALANDS LÄN</t>
        </is>
      </c>
      <c r="E225" t="inlineStr">
        <is>
          <t>VÅRGÅRDA</t>
        </is>
      </c>
      <c r="G225" t="n">
        <v>0.8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60973-2025</t>
        </is>
      </c>
      <c r="B226" s="1" t="n">
        <v>45999.69430555555</v>
      </c>
      <c r="C226" s="1" t="n">
        <v>46140</v>
      </c>
      <c r="D226" t="inlineStr">
        <is>
          <t>VÄSTRA GÖTALANDS LÄN</t>
        </is>
      </c>
      <c r="E226" t="inlineStr">
        <is>
          <t>VÅRGÅRDA</t>
        </is>
      </c>
      <c r="G226" t="n">
        <v>1.1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61731-2025</t>
        </is>
      </c>
      <c r="B227" s="1" t="n">
        <v>46002.59304398148</v>
      </c>
      <c r="C227" s="1" t="n">
        <v>46140</v>
      </c>
      <c r="D227" t="inlineStr">
        <is>
          <t>VÄSTRA GÖTALANDS LÄN</t>
        </is>
      </c>
      <c r="E227" t="inlineStr">
        <is>
          <t>VÅRGÅRDA</t>
        </is>
      </c>
      <c r="G227" t="n">
        <v>1.2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14655-2022</t>
        </is>
      </c>
      <c r="B228" s="1" t="n">
        <v>44655</v>
      </c>
      <c r="C228" s="1" t="n">
        <v>46140</v>
      </c>
      <c r="D228" t="inlineStr">
        <is>
          <t>VÄSTRA GÖTALANDS LÄN</t>
        </is>
      </c>
      <c r="E228" t="inlineStr">
        <is>
          <t>VÅRGÅRDA</t>
        </is>
      </c>
      <c r="G228" t="n">
        <v>2.7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16121-2024</t>
        </is>
      </c>
      <c r="B229" s="1" t="n">
        <v>45406.49583333333</v>
      </c>
      <c r="C229" s="1" t="n">
        <v>46140</v>
      </c>
      <c r="D229" t="inlineStr">
        <is>
          <t>VÄSTRA GÖTALANDS LÄN</t>
        </is>
      </c>
      <c r="E229" t="inlineStr">
        <is>
          <t>VÅRGÅRDA</t>
        </is>
      </c>
      <c r="G229" t="n">
        <v>4.5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55972-2023</t>
        </is>
      </c>
      <c r="B230" s="1" t="n">
        <v>45233</v>
      </c>
      <c r="C230" s="1" t="n">
        <v>46140</v>
      </c>
      <c r="D230" t="inlineStr">
        <is>
          <t>VÄSTRA GÖTALANDS LÄN</t>
        </is>
      </c>
      <c r="E230" t="inlineStr">
        <is>
          <t>VÅRGÅRDA</t>
        </is>
      </c>
      <c r="G230" t="n">
        <v>4.5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9189-2022</t>
        </is>
      </c>
      <c r="B231" s="1" t="n">
        <v>44615.89261574074</v>
      </c>
      <c r="C231" s="1" t="n">
        <v>46140</v>
      </c>
      <c r="D231" t="inlineStr">
        <is>
          <t>VÄSTRA GÖTALANDS LÄN</t>
        </is>
      </c>
      <c r="E231" t="inlineStr">
        <is>
          <t>VÅRGÅRDA</t>
        </is>
      </c>
      <c r="G231" t="n">
        <v>4.6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60589-2023</t>
        </is>
      </c>
      <c r="B232" s="1" t="n">
        <v>45260.28659722222</v>
      </c>
      <c r="C232" s="1" t="n">
        <v>46140</v>
      </c>
      <c r="D232" t="inlineStr">
        <is>
          <t>VÄSTRA GÖTALANDS LÄN</t>
        </is>
      </c>
      <c r="E232" t="inlineStr">
        <is>
          <t>VÅRGÅRDA</t>
        </is>
      </c>
      <c r="G232" t="n">
        <v>3.8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7329-2025</t>
        </is>
      </c>
      <c r="B233" s="1" t="n">
        <v>45703.32144675926</v>
      </c>
      <c r="C233" s="1" t="n">
        <v>46140</v>
      </c>
      <c r="D233" t="inlineStr">
        <is>
          <t>VÄSTRA GÖTALANDS LÄN</t>
        </is>
      </c>
      <c r="E233" t="inlineStr">
        <is>
          <t>VÅRGÅRDA</t>
        </is>
      </c>
      <c r="G233" t="n">
        <v>1.3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7680-2025</t>
        </is>
      </c>
      <c r="B234" s="1" t="n">
        <v>45706.36583333334</v>
      </c>
      <c r="C234" s="1" t="n">
        <v>46140</v>
      </c>
      <c r="D234" t="inlineStr">
        <is>
          <t>VÄSTRA GÖTALANDS LÄN</t>
        </is>
      </c>
      <c r="E234" t="inlineStr">
        <is>
          <t>VÅRGÅRDA</t>
        </is>
      </c>
      <c r="G234" t="n">
        <v>0.5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50307-2023</t>
        </is>
      </c>
      <c r="B235" s="1" t="n">
        <v>45209</v>
      </c>
      <c r="C235" s="1" t="n">
        <v>46140</v>
      </c>
      <c r="D235" t="inlineStr">
        <is>
          <t>VÄSTRA GÖTALANDS LÄN</t>
        </is>
      </c>
      <c r="E235" t="inlineStr">
        <is>
          <t>VÅRGÅRDA</t>
        </is>
      </c>
      <c r="G235" t="n">
        <v>2.8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5663-2025</t>
        </is>
      </c>
      <c r="B236" s="1" t="n">
        <v>45693.82982638889</v>
      </c>
      <c r="C236" s="1" t="n">
        <v>46140</v>
      </c>
      <c r="D236" t="inlineStr">
        <is>
          <t>VÄSTRA GÖTALANDS LÄN</t>
        </is>
      </c>
      <c r="E236" t="inlineStr">
        <is>
          <t>VÅRGÅRDA</t>
        </is>
      </c>
      <c r="G236" t="n">
        <v>8.199999999999999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46747-2023</t>
        </is>
      </c>
      <c r="B237" s="1" t="n">
        <v>45198</v>
      </c>
      <c r="C237" s="1" t="n">
        <v>46140</v>
      </c>
      <c r="D237" t="inlineStr">
        <is>
          <t>VÄSTRA GÖTALANDS LÄN</t>
        </is>
      </c>
      <c r="E237" t="inlineStr">
        <is>
          <t>VÅRGÅRDA</t>
        </is>
      </c>
      <c r="F237" t="inlineStr">
        <is>
          <t>Kyrkan</t>
        </is>
      </c>
      <c r="G237" t="n">
        <v>6.6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46736-2023</t>
        </is>
      </c>
      <c r="B238" s="1" t="n">
        <v>45198</v>
      </c>
      <c r="C238" s="1" t="n">
        <v>46140</v>
      </c>
      <c r="D238" t="inlineStr">
        <is>
          <t>VÄSTRA GÖTALANDS LÄN</t>
        </is>
      </c>
      <c r="E238" t="inlineStr">
        <is>
          <t>VÅRGÅRDA</t>
        </is>
      </c>
      <c r="F238" t="inlineStr">
        <is>
          <t>Kyrkan</t>
        </is>
      </c>
      <c r="G238" t="n">
        <v>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946-2026</t>
        </is>
      </c>
      <c r="B239" s="1" t="n">
        <v>46030.53789351852</v>
      </c>
      <c r="C239" s="1" t="n">
        <v>46140</v>
      </c>
      <c r="D239" t="inlineStr">
        <is>
          <t>VÄSTRA GÖTALANDS LÄN</t>
        </is>
      </c>
      <c r="E239" t="inlineStr">
        <is>
          <t>VÅRGÅRDA</t>
        </is>
      </c>
      <c r="G239" t="n">
        <v>1.3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1437-2026</t>
        </is>
      </c>
      <c r="B240" s="1" t="n">
        <v>46032.56134259259</v>
      </c>
      <c r="C240" s="1" t="n">
        <v>46140</v>
      </c>
      <c r="D240" t="inlineStr">
        <is>
          <t>VÄSTRA GÖTALANDS LÄN</t>
        </is>
      </c>
      <c r="E240" t="inlineStr">
        <is>
          <t>VÅRGÅRDA</t>
        </is>
      </c>
      <c r="G240" t="n">
        <v>1.8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1427-2026</t>
        </is>
      </c>
      <c r="B241" s="1" t="n">
        <v>46031.94480324074</v>
      </c>
      <c r="C241" s="1" t="n">
        <v>46140</v>
      </c>
      <c r="D241" t="inlineStr">
        <is>
          <t>VÄSTRA GÖTALANDS LÄN</t>
        </is>
      </c>
      <c r="E241" t="inlineStr">
        <is>
          <t>VÅRGÅRDA</t>
        </is>
      </c>
      <c r="G241" t="n">
        <v>2.1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1438-2026</t>
        </is>
      </c>
      <c r="B242" s="1" t="n">
        <v>46032.5637037037</v>
      </c>
      <c r="C242" s="1" t="n">
        <v>46140</v>
      </c>
      <c r="D242" t="inlineStr">
        <is>
          <t>VÄSTRA GÖTALANDS LÄN</t>
        </is>
      </c>
      <c r="E242" t="inlineStr">
        <is>
          <t>VÅRGÅRDA</t>
        </is>
      </c>
      <c r="G242" t="n">
        <v>1.2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1277-2026</t>
        </is>
      </c>
      <c r="B243" s="1" t="n">
        <v>46031</v>
      </c>
      <c r="C243" s="1" t="n">
        <v>46140</v>
      </c>
      <c r="D243" t="inlineStr">
        <is>
          <t>VÄSTRA GÖTALANDS LÄN</t>
        </is>
      </c>
      <c r="E243" t="inlineStr">
        <is>
          <t>VÅRGÅRDA</t>
        </is>
      </c>
      <c r="G243" t="n">
        <v>3.8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55630-2025</t>
        </is>
      </c>
      <c r="B244" s="1" t="n">
        <v>45972</v>
      </c>
      <c r="C244" s="1" t="n">
        <v>46140</v>
      </c>
      <c r="D244" t="inlineStr">
        <is>
          <t>VÄSTRA GÖTALANDS LÄN</t>
        </is>
      </c>
      <c r="E244" t="inlineStr">
        <is>
          <t>VÅRGÅRDA</t>
        </is>
      </c>
      <c r="G244" t="n">
        <v>1.9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1513-2026</t>
        </is>
      </c>
      <c r="B245" s="1" t="n">
        <v>46034.34575231482</v>
      </c>
      <c r="C245" s="1" t="n">
        <v>46140</v>
      </c>
      <c r="D245" t="inlineStr">
        <is>
          <t>VÄSTRA GÖTALANDS LÄN</t>
        </is>
      </c>
      <c r="E245" t="inlineStr">
        <is>
          <t>VÅRGÅRDA</t>
        </is>
      </c>
      <c r="G245" t="n">
        <v>1.1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1880-2026</t>
        </is>
      </c>
      <c r="B246" s="1" t="n">
        <v>46035.47288194444</v>
      </c>
      <c r="C246" s="1" t="n">
        <v>46140</v>
      </c>
      <c r="D246" t="inlineStr">
        <is>
          <t>VÄSTRA GÖTALANDS LÄN</t>
        </is>
      </c>
      <c r="E246" t="inlineStr">
        <is>
          <t>VÅRGÅRDA</t>
        </is>
      </c>
      <c r="G246" t="n">
        <v>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2411-2026</t>
        </is>
      </c>
      <c r="B247" s="1" t="n">
        <v>46036.73222222222</v>
      </c>
      <c r="C247" s="1" t="n">
        <v>46140</v>
      </c>
      <c r="D247" t="inlineStr">
        <is>
          <t>VÄSTRA GÖTALANDS LÄN</t>
        </is>
      </c>
      <c r="E247" t="inlineStr">
        <is>
          <t>VÅRGÅRDA</t>
        </is>
      </c>
      <c r="G247" t="n">
        <v>1.9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17201-2025</t>
        </is>
      </c>
      <c r="B248" s="1" t="n">
        <v>45756.42020833334</v>
      </c>
      <c r="C248" s="1" t="n">
        <v>46140</v>
      </c>
      <c r="D248" t="inlineStr">
        <is>
          <t>VÄSTRA GÖTALANDS LÄN</t>
        </is>
      </c>
      <c r="E248" t="inlineStr">
        <is>
          <t>VÅRGÅRDA</t>
        </is>
      </c>
      <c r="G248" t="n">
        <v>2.2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1860-2026</t>
        </is>
      </c>
      <c r="B249" s="1" t="n">
        <v>46035.44283564815</v>
      </c>
      <c r="C249" s="1" t="n">
        <v>46140</v>
      </c>
      <c r="D249" t="inlineStr">
        <is>
          <t>VÄSTRA GÖTALANDS LÄN</t>
        </is>
      </c>
      <c r="E249" t="inlineStr">
        <is>
          <t>VÅRGÅRDA</t>
        </is>
      </c>
      <c r="G249" t="n">
        <v>2.7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39475-2023</t>
        </is>
      </c>
      <c r="B250" s="1" t="n">
        <v>45166</v>
      </c>
      <c r="C250" s="1" t="n">
        <v>46140</v>
      </c>
      <c r="D250" t="inlineStr">
        <is>
          <t>VÄSTRA GÖTALANDS LÄN</t>
        </is>
      </c>
      <c r="E250" t="inlineStr">
        <is>
          <t>VÅRGÅRDA</t>
        </is>
      </c>
      <c r="G250" t="n">
        <v>5.1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53213-2024</t>
        </is>
      </c>
      <c r="B251" s="1" t="n">
        <v>45612.65795138889</v>
      </c>
      <c r="C251" s="1" t="n">
        <v>46140</v>
      </c>
      <c r="D251" t="inlineStr">
        <is>
          <t>VÄSTRA GÖTALANDS LÄN</t>
        </is>
      </c>
      <c r="E251" t="inlineStr">
        <is>
          <t>VÅRGÅRDA</t>
        </is>
      </c>
      <c r="G251" t="n">
        <v>4.5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2410-2026</t>
        </is>
      </c>
      <c r="B252" s="1" t="n">
        <v>46036.72965277778</v>
      </c>
      <c r="C252" s="1" t="n">
        <v>46140</v>
      </c>
      <c r="D252" t="inlineStr">
        <is>
          <t>VÄSTRA GÖTALANDS LÄN</t>
        </is>
      </c>
      <c r="E252" t="inlineStr">
        <is>
          <t>VÅRGÅRDA</t>
        </is>
      </c>
      <c r="G252" t="n">
        <v>2.8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3012-2026</t>
        </is>
      </c>
      <c r="B253" s="1" t="n">
        <v>46038.66331018518</v>
      </c>
      <c r="C253" s="1" t="n">
        <v>46140</v>
      </c>
      <c r="D253" t="inlineStr">
        <is>
          <t>VÄSTRA GÖTALANDS LÄN</t>
        </is>
      </c>
      <c r="E253" t="inlineStr">
        <is>
          <t>VÅRGÅRDA</t>
        </is>
      </c>
      <c r="G253" t="n">
        <v>3.2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2416-2026</t>
        </is>
      </c>
      <c r="B254" s="1" t="n">
        <v>46036.76255787037</v>
      </c>
      <c r="C254" s="1" t="n">
        <v>46140</v>
      </c>
      <c r="D254" t="inlineStr">
        <is>
          <t>VÄSTRA GÖTALANDS LÄN</t>
        </is>
      </c>
      <c r="E254" t="inlineStr">
        <is>
          <t>VÅRGÅRDA</t>
        </is>
      </c>
      <c r="G254" t="n">
        <v>1.4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2431-2026</t>
        </is>
      </c>
      <c r="B255" s="1" t="n">
        <v>46036.81487268519</v>
      </c>
      <c r="C255" s="1" t="n">
        <v>46140</v>
      </c>
      <c r="D255" t="inlineStr">
        <is>
          <t>VÄSTRA GÖTALANDS LÄN</t>
        </is>
      </c>
      <c r="E255" t="inlineStr">
        <is>
          <t>VÅRGÅRDA</t>
        </is>
      </c>
      <c r="G255" t="n">
        <v>1.7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3010-2026</t>
        </is>
      </c>
      <c r="B256" s="1" t="n">
        <v>46038.66194444444</v>
      </c>
      <c r="C256" s="1" t="n">
        <v>46140</v>
      </c>
      <c r="D256" t="inlineStr">
        <is>
          <t>VÄSTRA GÖTALANDS LÄN</t>
        </is>
      </c>
      <c r="E256" t="inlineStr">
        <is>
          <t>VÅRGÅRDA</t>
        </is>
      </c>
      <c r="G256" t="n">
        <v>2.7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2430-2026</t>
        </is>
      </c>
      <c r="B257" s="1" t="n">
        <v>46036.81327546296</v>
      </c>
      <c r="C257" s="1" t="n">
        <v>46140</v>
      </c>
      <c r="D257" t="inlineStr">
        <is>
          <t>VÄSTRA GÖTALANDS LÄN</t>
        </is>
      </c>
      <c r="E257" t="inlineStr">
        <is>
          <t>VÅRGÅRDA</t>
        </is>
      </c>
      <c r="G257" t="n">
        <v>1.5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2432-2026</t>
        </is>
      </c>
      <c r="B258" s="1" t="n">
        <v>46036.81594907407</v>
      </c>
      <c r="C258" s="1" t="n">
        <v>46140</v>
      </c>
      <c r="D258" t="inlineStr">
        <is>
          <t>VÄSTRA GÖTALANDS LÄN</t>
        </is>
      </c>
      <c r="E258" t="inlineStr">
        <is>
          <t>VÅRGÅRDA</t>
        </is>
      </c>
      <c r="G258" t="n">
        <v>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3382-2026</t>
        </is>
      </c>
      <c r="B259" s="1" t="n">
        <v>46042.36003472222</v>
      </c>
      <c r="C259" s="1" t="n">
        <v>46140</v>
      </c>
      <c r="D259" t="inlineStr">
        <is>
          <t>VÄSTRA GÖTALANDS LÄN</t>
        </is>
      </c>
      <c r="E259" t="inlineStr">
        <is>
          <t>VÅRGÅRDA</t>
        </is>
      </c>
      <c r="G259" t="n">
        <v>3.2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20022-2025</t>
        </is>
      </c>
      <c r="B260" s="1" t="n">
        <v>45772.34013888889</v>
      </c>
      <c r="C260" s="1" t="n">
        <v>46140</v>
      </c>
      <c r="D260" t="inlineStr">
        <is>
          <t>VÄSTRA GÖTALANDS LÄN</t>
        </is>
      </c>
      <c r="E260" t="inlineStr">
        <is>
          <t>VÅRGÅRDA</t>
        </is>
      </c>
      <c r="G260" t="n">
        <v>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5144-2024</t>
        </is>
      </c>
      <c r="B261" s="1" t="n">
        <v>45330</v>
      </c>
      <c r="C261" s="1" t="n">
        <v>46140</v>
      </c>
      <c r="D261" t="inlineStr">
        <is>
          <t>VÄSTRA GÖTALANDS LÄN</t>
        </is>
      </c>
      <c r="E261" t="inlineStr">
        <is>
          <t>VÅRGÅRDA</t>
        </is>
      </c>
      <c r="G261" t="n">
        <v>0.9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3701-2026</t>
        </is>
      </c>
      <c r="B262" s="1" t="n">
        <v>46043.47123842593</v>
      </c>
      <c r="C262" s="1" t="n">
        <v>46140</v>
      </c>
      <c r="D262" t="inlineStr">
        <is>
          <t>VÄSTRA GÖTALANDS LÄN</t>
        </is>
      </c>
      <c r="E262" t="inlineStr">
        <is>
          <t>VÅRGÅRDA</t>
        </is>
      </c>
      <c r="G262" t="n">
        <v>1.3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9633-2024</t>
        </is>
      </c>
      <c r="B263" s="1" t="n">
        <v>45362.3203125</v>
      </c>
      <c r="C263" s="1" t="n">
        <v>46140</v>
      </c>
      <c r="D263" t="inlineStr">
        <is>
          <t>VÄSTRA GÖTALANDS LÄN</t>
        </is>
      </c>
      <c r="E263" t="inlineStr">
        <is>
          <t>VÅRGÅRDA</t>
        </is>
      </c>
      <c r="G263" t="n">
        <v>1.6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4260-2026</t>
        </is>
      </c>
      <c r="B264" s="1" t="n">
        <v>46045.3403125</v>
      </c>
      <c r="C264" s="1" t="n">
        <v>46140</v>
      </c>
      <c r="D264" t="inlineStr">
        <is>
          <t>VÄSTRA GÖTALANDS LÄN</t>
        </is>
      </c>
      <c r="E264" t="inlineStr">
        <is>
          <t>VÅRGÅRDA</t>
        </is>
      </c>
      <c r="G264" t="n">
        <v>0.7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59619-2022</t>
        </is>
      </c>
      <c r="B265" s="1" t="n">
        <v>44907.88240740741</v>
      </c>
      <c r="C265" s="1" t="n">
        <v>46140</v>
      </c>
      <c r="D265" t="inlineStr">
        <is>
          <t>VÄSTRA GÖTALANDS LÄN</t>
        </is>
      </c>
      <c r="E265" t="inlineStr">
        <is>
          <t>VÅRGÅRDA</t>
        </is>
      </c>
      <c r="G265" t="n">
        <v>3.3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16280-2025</t>
        </is>
      </c>
      <c r="B266" s="1" t="n">
        <v>45751.28666666667</v>
      </c>
      <c r="C266" s="1" t="n">
        <v>46140</v>
      </c>
      <c r="D266" t="inlineStr">
        <is>
          <t>VÄSTRA GÖTALANDS LÄN</t>
        </is>
      </c>
      <c r="E266" t="inlineStr">
        <is>
          <t>VÅRGÅRDA</t>
        </is>
      </c>
      <c r="F266" t="inlineStr">
        <is>
          <t>Sveaskog</t>
        </is>
      </c>
      <c r="G266" t="n">
        <v>3.3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16912-2025</t>
        </is>
      </c>
      <c r="B267" s="1" t="n">
        <v>45755.36498842593</v>
      </c>
      <c r="C267" s="1" t="n">
        <v>46140</v>
      </c>
      <c r="D267" t="inlineStr">
        <is>
          <t>VÄSTRA GÖTALANDS LÄN</t>
        </is>
      </c>
      <c r="E267" t="inlineStr">
        <is>
          <t>VÅRGÅRDA</t>
        </is>
      </c>
      <c r="G267" t="n">
        <v>3.1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37653-2023</t>
        </is>
      </c>
      <c r="B268" s="1" t="n">
        <v>45159.51601851852</v>
      </c>
      <c r="C268" s="1" t="n">
        <v>46140</v>
      </c>
      <c r="D268" t="inlineStr">
        <is>
          <t>VÄSTRA GÖTALANDS LÄN</t>
        </is>
      </c>
      <c r="E268" t="inlineStr">
        <is>
          <t>VÅRGÅRDA</t>
        </is>
      </c>
      <c r="G268" t="n">
        <v>0.9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13397-2025</t>
        </is>
      </c>
      <c r="B269" s="1" t="n">
        <v>45735.71293981482</v>
      </c>
      <c r="C269" s="1" t="n">
        <v>46140</v>
      </c>
      <c r="D269" t="inlineStr">
        <is>
          <t>VÄSTRA GÖTALANDS LÄN</t>
        </is>
      </c>
      <c r="E269" t="inlineStr">
        <is>
          <t>VÅRGÅRDA</t>
        </is>
      </c>
      <c r="G269" t="n">
        <v>7.1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6083-2026</t>
        </is>
      </c>
      <c r="B270" s="1" t="n">
        <v>46052.68944444445</v>
      </c>
      <c r="C270" s="1" t="n">
        <v>46140</v>
      </c>
      <c r="D270" t="inlineStr">
        <is>
          <t>VÄSTRA GÖTALANDS LÄN</t>
        </is>
      </c>
      <c r="E270" t="inlineStr">
        <is>
          <t>VÅRGÅRDA</t>
        </is>
      </c>
      <c r="G270" t="n">
        <v>0.6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17199-2025</t>
        </is>
      </c>
      <c r="B271" s="1" t="n">
        <v>45756.41421296296</v>
      </c>
      <c r="C271" s="1" t="n">
        <v>46140</v>
      </c>
      <c r="D271" t="inlineStr">
        <is>
          <t>VÄSTRA GÖTALANDS LÄN</t>
        </is>
      </c>
      <c r="E271" t="inlineStr">
        <is>
          <t>VÅRGÅRDA</t>
        </is>
      </c>
      <c r="G271" t="n">
        <v>0.7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18068-2025</t>
        </is>
      </c>
      <c r="B272" s="1" t="n">
        <v>45761.49069444444</v>
      </c>
      <c r="C272" s="1" t="n">
        <v>46140</v>
      </c>
      <c r="D272" t="inlineStr">
        <is>
          <t>VÄSTRA GÖTALANDS LÄN</t>
        </is>
      </c>
      <c r="E272" t="inlineStr">
        <is>
          <t>VÅRGÅRDA</t>
        </is>
      </c>
      <c r="G272" t="n">
        <v>1.7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5707-2026</t>
        </is>
      </c>
      <c r="B273" s="1" t="n">
        <v>46051.5116087963</v>
      </c>
      <c r="C273" s="1" t="n">
        <v>46140</v>
      </c>
      <c r="D273" t="inlineStr">
        <is>
          <t>VÄSTRA GÖTALANDS LÄN</t>
        </is>
      </c>
      <c r="E273" t="inlineStr">
        <is>
          <t>VÅRGÅRDA</t>
        </is>
      </c>
      <c r="G273" t="n">
        <v>2.6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1005-2024</t>
        </is>
      </c>
      <c r="B274" s="1" t="n">
        <v>45301</v>
      </c>
      <c r="C274" s="1" t="n">
        <v>46140</v>
      </c>
      <c r="D274" t="inlineStr">
        <is>
          <t>VÄSTRA GÖTALANDS LÄN</t>
        </is>
      </c>
      <c r="E274" t="inlineStr">
        <is>
          <t>VÅRGÅRDA</t>
        </is>
      </c>
      <c r="G274" t="n">
        <v>0.8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5708-2026</t>
        </is>
      </c>
      <c r="B275" s="1" t="n">
        <v>46051.51230324074</v>
      </c>
      <c r="C275" s="1" t="n">
        <v>46140</v>
      </c>
      <c r="D275" t="inlineStr">
        <is>
          <t>VÄSTRA GÖTALANDS LÄN</t>
        </is>
      </c>
      <c r="E275" t="inlineStr">
        <is>
          <t>VÅRGÅRDA</t>
        </is>
      </c>
      <c r="G275" t="n">
        <v>9.199999999999999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3057-2023</t>
        </is>
      </c>
      <c r="B276" s="1" t="n">
        <v>44946</v>
      </c>
      <c r="C276" s="1" t="n">
        <v>46140</v>
      </c>
      <c r="D276" t="inlineStr">
        <is>
          <t>VÄSTRA GÖTALANDS LÄN</t>
        </is>
      </c>
      <c r="E276" t="inlineStr">
        <is>
          <t>VÅRGÅRDA</t>
        </is>
      </c>
      <c r="G276" t="n">
        <v>1.3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20172-2025</t>
        </is>
      </c>
      <c r="B277" s="1" t="n">
        <v>45772.57979166666</v>
      </c>
      <c r="C277" s="1" t="n">
        <v>46140</v>
      </c>
      <c r="D277" t="inlineStr">
        <is>
          <t>VÄSTRA GÖTALANDS LÄN</t>
        </is>
      </c>
      <c r="E277" t="inlineStr">
        <is>
          <t>VÅRGÅRDA</t>
        </is>
      </c>
      <c r="G277" t="n">
        <v>4.9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6003-2023</t>
        </is>
      </c>
      <c r="B278" s="1" t="n">
        <v>44964.39972222222</v>
      </c>
      <c r="C278" s="1" t="n">
        <v>46140</v>
      </c>
      <c r="D278" t="inlineStr">
        <is>
          <t>VÄSTRA GÖTALANDS LÄN</t>
        </is>
      </c>
      <c r="E278" t="inlineStr">
        <is>
          <t>VÅRGÅRDA</t>
        </is>
      </c>
      <c r="F278" t="inlineStr">
        <is>
          <t>Sveaskog</t>
        </is>
      </c>
      <c r="G278" t="n">
        <v>2.9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7070-2026</t>
        </is>
      </c>
      <c r="B279" s="1" t="n">
        <v>46058.31163194445</v>
      </c>
      <c r="C279" s="1" t="n">
        <v>46140</v>
      </c>
      <c r="D279" t="inlineStr">
        <is>
          <t>VÄSTRA GÖTALANDS LÄN</t>
        </is>
      </c>
      <c r="E279" t="inlineStr">
        <is>
          <t>VÅRGÅRDA</t>
        </is>
      </c>
      <c r="G279" t="n">
        <v>3.2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14669-2026</t>
        </is>
      </c>
      <c r="B280" s="1" t="n">
        <v>46101.45865740741</v>
      </c>
      <c r="C280" s="1" t="n">
        <v>46140</v>
      </c>
      <c r="D280" t="inlineStr">
        <is>
          <t>VÄSTRA GÖTALANDS LÄN</t>
        </is>
      </c>
      <c r="E280" t="inlineStr">
        <is>
          <t>VÅRGÅRDA</t>
        </is>
      </c>
      <c r="G280" t="n">
        <v>0.5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16169-2024</t>
        </is>
      </c>
      <c r="B281" s="1" t="n">
        <v>45406.61987268519</v>
      </c>
      <c r="C281" s="1" t="n">
        <v>46140</v>
      </c>
      <c r="D281" t="inlineStr">
        <is>
          <t>VÄSTRA GÖTALANDS LÄN</t>
        </is>
      </c>
      <c r="E281" t="inlineStr">
        <is>
          <t>VÅRGÅRDA</t>
        </is>
      </c>
      <c r="G281" t="n">
        <v>2.1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48595-2021</t>
        </is>
      </c>
      <c r="B282" s="1" t="n">
        <v>44452.48140046297</v>
      </c>
      <c r="C282" s="1" t="n">
        <v>46140</v>
      </c>
      <c r="D282" t="inlineStr">
        <is>
          <t>VÄSTRA GÖTALANDS LÄN</t>
        </is>
      </c>
      <c r="E282" t="inlineStr">
        <is>
          <t>VÅRGÅRDA</t>
        </is>
      </c>
      <c r="G282" t="n">
        <v>1.7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7529-2026</t>
        </is>
      </c>
      <c r="B283" s="1" t="n">
        <v>46059.61733796296</v>
      </c>
      <c r="C283" s="1" t="n">
        <v>46140</v>
      </c>
      <c r="D283" t="inlineStr">
        <is>
          <t>VÄSTRA GÖTALANDS LÄN</t>
        </is>
      </c>
      <c r="E283" t="inlineStr">
        <is>
          <t>VÅRGÅRDA</t>
        </is>
      </c>
      <c r="G283" t="n">
        <v>1.8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30061-2021</t>
        </is>
      </c>
      <c r="B284" s="1" t="n">
        <v>44363</v>
      </c>
      <c r="C284" s="1" t="n">
        <v>46140</v>
      </c>
      <c r="D284" t="inlineStr">
        <is>
          <t>VÄSTRA GÖTALANDS LÄN</t>
        </is>
      </c>
      <c r="E284" t="inlineStr">
        <is>
          <t>VÅRGÅRDA</t>
        </is>
      </c>
      <c r="G284" t="n">
        <v>0.6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7533-2026</t>
        </is>
      </c>
      <c r="B285" s="1" t="n">
        <v>46059.62197916667</v>
      </c>
      <c r="C285" s="1" t="n">
        <v>46140</v>
      </c>
      <c r="D285" t="inlineStr">
        <is>
          <t>VÄSTRA GÖTALANDS LÄN</t>
        </is>
      </c>
      <c r="E285" t="inlineStr">
        <is>
          <t>VÅRGÅRDA</t>
        </is>
      </c>
      <c r="G285" t="n">
        <v>4.7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7535-2026</t>
        </is>
      </c>
      <c r="B286" s="1" t="n">
        <v>46059.62313657408</v>
      </c>
      <c r="C286" s="1" t="n">
        <v>46140</v>
      </c>
      <c r="D286" t="inlineStr">
        <is>
          <t>VÄSTRA GÖTALANDS LÄN</t>
        </is>
      </c>
      <c r="E286" t="inlineStr">
        <is>
          <t>VÅRGÅRDA</t>
        </is>
      </c>
      <c r="G286" t="n">
        <v>1.6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15380-2026</t>
        </is>
      </c>
      <c r="B287" s="1" t="n">
        <v>46106.33246527778</v>
      </c>
      <c r="C287" s="1" t="n">
        <v>46140</v>
      </c>
      <c r="D287" t="inlineStr">
        <is>
          <t>VÄSTRA GÖTALANDS LÄN</t>
        </is>
      </c>
      <c r="E287" t="inlineStr">
        <is>
          <t>VÅRGÅRDA</t>
        </is>
      </c>
      <c r="G287" t="n">
        <v>0.8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8372-2026</t>
        </is>
      </c>
      <c r="B288" s="1" t="n">
        <v>46064.71388888889</v>
      </c>
      <c r="C288" s="1" t="n">
        <v>46140</v>
      </c>
      <c r="D288" t="inlineStr">
        <is>
          <t>VÄSTRA GÖTALANDS LÄN</t>
        </is>
      </c>
      <c r="E288" t="inlineStr">
        <is>
          <t>VÅRGÅRDA</t>
        </is>
      </c>
      <c r="G288" t="n">
        <v>1.3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8657-2026</t>
        </is>
      </c>
      <c r="B289" s="1" t="n">
        <v>46066.37245370371</v>
      </c>
      <c r="C289" s="1" t="n">
        <v>46140</v>
      </c>
      <c r="D289" t="inlineStr">
        <is>
          <t>VÄSTRA GÖTALANDS LÄN</t>
        </is>
      </c>
      <c r="E289" t="inlineStr">
        <is>
          <t>VÅRGÅRDA</t>
        </is>
      </c>
      <c r="G289" t="n">
        <v>10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8659-2026</t>
        </is>
      </c>
      <c r="B290" s="1" t="n">
        <v>46066.37532407408</v>
      </c>
      <c r="C290" s="1" t="n">
        <v>46140</v>
      </c>
      <c r="D290" t="inlineStr">
        <is>
          <t>VÄSTRA GÖTALANDS LÄN</t>
        </is>
      </c>
      <c r="E290" t="inlineStr">
        <is>
          <t>VÅRGÅRDA</t>
        </is>
      </c>
      <c r="G290" t="n">
        <v>0.9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42359-2023</t>
        </is>
      </c>
      <c r="B291" s="1" t="n">
        <v>45180.52940972222</v>
      </c>
      <c r="C291" s="1" t="n">
        <v>46140</v>
      </c>
      <c r="D291" t="inlineStr">
        <is>
          <t>VÄSTRA GÖTALANDS LÄN</t>
        </is>
      </c>
      <c r="E291" t="inlineStr">
        <is>
          <t>VÅRGÅRDA</t>
        </is>
      </c>
      <c r="G291" t="n">
        <v>1.6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9749-2023</t>
        </is>
      </c>
      <c r="B292" s="1" t="n">
        <v>44984</v>
      </c>
      <c r="C292" s="1" t="n">
        <v>46140</v>
      </c>
      <c r="D292" t="inlineStr">
        <is>
          <t>VÄSTRA GÖTALANDS LÄN</t>
        </is>
      </c>
      <c r="E292" t="inlineStr">
        <is>
          <t>VÅRGÅRDA</t>
        </is>
      </c>
      <c r="G292" t="n">
        <v>3.3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9898-2024</t>
        </is>
      </c>
      <c r="B293" s="1" t="n">
        <v>45363</v>
      </c>
      <c r="C293" s="1" t="n">
        <v>46140</v>
      </c>
      <c r="D293" t="inlineStr">
        <is>
          <t>VÄSTRA GÖTALANDS LÄN</t>
        </is>
      </c>
      <c r="E293" t="inlineStr">
        <is>
          <t>VÅRGÅRDA</t>
        </is>
      </c>
      <c r="G293" t="n">
        <v>0.4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57167-2022</t>
        </is>
      </c>
      <c r="B294" s="1" t="n">
        <v>44895.60074074074</v>
      </c>
      <c r="C294" s="1" t="n">
        <v>46140</v>
      </c>
      <c r="D294" t="inlineStr">
        <is>
          <t>VÄSTRA GÖTALANDS LÄN</t>
        </is>
      </c>
      <c r="E294" t="inlineStr">
        <is>
          <t>VÅRGÅRDA</t>
        </is>
      </c>
      <c r="G294" t="n">
        <v>0.6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9305-2026</t>
        </is>
      </c>
      <c r="B295" s="1" t="n">
        <v>46070.60619212963</v>
      </c>
      <c r="C295" s="1" t="n">
        <v>46140</v>
      </c>
      <c r="D295" t="inlineStr">
        <is>
          <t>VÄSTRA GÖTALANDS LÄN</t>
        </is>
      </c>
      <c r="E295" t="inlineStr">
        <is>
          <t>VÅRGÅRDA</t>
        </is>
      </c>
      <c r="G295" t="n">
        <v>0.5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9261-2026</t>
        </is>
      </c>
      <c r="B296" s="1" t="n">
        <v>46070.52174768518</v>
      </c>
      <c r="C296" s="1" t="n">
        <v>46140</v>
      </c>
      <c r="D296" t="inlineStr">
        <is>
          <t>VÄSTRA GÖTALANDS LÄN</t>
        </is>
      </c>
      <c r="E296" t="inlineStr">
        <is>
          <t>VÅRGÅRDA</t>
        </is>
      </c>
      <c r="G296" t="n">
        <v>2.1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9301-2026</t>
        </is>
      </c>
      <c r="B297" s="1" t="n">
        <v>46070.60028935185</v>
      </c>
      <c r="C297" s="1" t="n">
        <v>46140</v>
      </c>
      <c r="D297" t="inlineStr">
        <is>
          <t>VÄSTRA GÖTALANDS LÄN</t>
        </is>
      </c>
      <c r="E297" t="inlineStr">
        <is>
          <t>VÅRGÅRDA</t>
        </is>
      </c>
      <c r="G297" t="n">
        <v>0.8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61969-2022</t>
        </is>
      </c>
      <c r="B298" s="1" t="n">
        <v>44914</v>
      </c>
      <c r="C298" s="1" t="n">
        <v>46140</v>
      </c>
      <c r="D298" t="inlineStr">
        <is>
          <t>VÄSTRA GÖTALANDS LÄN</t>
        </is>
      </c>
      <c r="E298" t="inlineStr">
        <is>
          <t>VÅRGÅRDA</t>
        </is>
      </c>
      <c r="G298" t="n">
        <v>5.7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9297-2026</t>
        </is>
      </c>
      <c r="B299" s="1" t="n">
        <v>46070.59637731482</v>
      </c>
      <c r="C299" s="1" t="n">
        <v>46140</v>
      </c>
      <c r="D299" t="inlineStr">
        <is>
          <t>VÄSTRA GÖTALANDS LÄN</t>
        </is>
      </c>
      <c r="E299" t="inlineStr">
        <is>
          <t>VÅRGÅRDA</t>
        </is>
      </c>
      <c r="G299" t="n">
        <v>0.9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62148-2022</t>
        </is>
      </c>
      <c r="B300" s="1" t="n">
        <v>44922.40197916667</v>
      </c>
      <c r="C300" s="1" t="n">
        <v>46140</v>
      </c>
      <c r="D300" t="inlineStr">
        <is>
          <t>VÄSTRA GÖTALANDS LÄN</t>
        </is>
      </c>
      <c r="E300" t="inlineStr">
        <is>
          <t>VÅRGÅRDA</t>
        </is>
      </c>
      <c r="G300" t="n">
        <v>1.2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17058-2026</t>
        </is>
      </c>
      <c r="B301" s="1" t="n">
        <v>46114.50336805556</v>
      </c>
      <c r="C301" s="1" t="n">
        <v>46140</v>
      </c>
      <c r="D301" t="inlineStr">
        <is>
          <t>VÄSTRA GÖTALANDS LÄN</t>
        </is>
      </c>
      <c r="E301" t="inlineStr">
        <is>
          <t>VÅRGÅRDA</t>
        </is>
      </c>
      <c r="F301" t="inlineStr">
        <is>
          <t>Sveaskog</t>
        </is>
      </c>
      <c r="G301" t="n">
        <v>2.7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17057-2026</t>
        </is>
      </c>
      <c r="B302" s="1" t="n">
        <v>46114.50219907407</v>
      </c>
      <c r="C302" s="1" t="n">
        <v>46140</v>
      </c>
      <c r="D302" t="inlineStr">
        <is>
          <t>VÄSTRA GÖTALANDS LÄN</t>
        </is>
      </c>
      <c r="E302" t="inlineStr">
        <is>
          <t>VÅRGÅRDA</t>
        </is>
      </c>
      <c r="F302" t="inlineStr">
        <is>
          <t>Sveaskog</t>
        </is>
      </c>
      <c r="G302" t="n">
        <v>4.5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57902-2022</t>
        </is>
      </c>
      <c r="B303" s="1" t="n">
        <v>44900.35104166667</v>
      </c>
      <c r="C303" s="1" t="n">
        <v>46140</v>
      </c>
      <c r="D303" t="inlineStr">
        <is>
          <t>VÄSTRA GÖTALANDS LÄN</t>
        </is>
      </c>
      <c r="E303" t="inlineStr">
        <is>
          <t>VÅRGÅRDA</t>
        </is>
      </c>
      <c r="G303" t="n">
        <v>1.3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50945-2023</t>
        </is>
      </c>
      <c r="B304" s="1" t="n">
        <v>45210</v>
      </c>
      <c r="C304" s="1" t="n">
        <v>46140</v>
      </c>
      <c r="D304" t="inlineStr">
        <is>
          <t>VÄSTRA GÖTALANDS LÄN</t>
        </is>
      </c>
      <c r="E304" t="inlineStr">
        <is>
          <t>VÅRGÅRDA</t>
        </is>
      </c>
      <c r="F304" t="inlineStr">
        <is>
          <t>Allmännings- och besparingsskogar</t>
        </is>
      </c>
      <c r="G304" t="n">
        <v>1.8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19391-2024</t>
        </is>
      </c>
      <c r="B305" s="1" t="n">
        <v>45429.37967592593</v>
      </c>
      <c r="C305" s="1" t="n">
        <v>46140</v>
      </c>
      <c r="D305" t="inlineStr">
        <is>
          <t>VÄSTRA GÖTALANDS LÄN</t>
        </is>
      </c>
      <c r="E305" t="inlineStr">
        <is>
          <t>VÅRGÅRDA</t>
        </is>
      </c>
      <c r="G305" t="n">
        <v>0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19394-2024</t>
        </is>
      </c>
      <c r="B306" s="1" t="n">
        <v>45429.38112268518</v>
      </c>
      <c r="C306" s="1" t="n">
        <v>46140</v>
      </c>
      <c r="D306" t="inlineStr">
        <is>
          <t>VÄSTRA GÖTALANDS LÄN</t>
        </is>
      </c>
      <c r="E306" t="inlineStr">
        <is>
          <t>VÅRGÅRDA</t>
        </is>
      </c>
      <c r="G306" t="n">
        <v>0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58049-2023</t>
        </is>
      </c>
      <c r="B307" s="1" t="n">
        <v>45247</v>
      </c>
      <c r="C307" s="1" t="n">
        <v>46140</v>
      </c>
      <c r="D307" t="inlineStr">
        <is>
          <t>VÄSTRA GÖTALANDS LÄN</t>
        </is>
      </c>
      <c r="E307" t="inlineStr">
        <is>
          <t>VÅRGÅRDA</t>
        </is>
      </c>
      <c r="G307" t="n">
        <v>2.2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11797-2024</t>
        </is>
      </c>
      <c r="B308" s="1" t="n">
        <v>45375.38054398148</v>
      </c>
      <c r="C308" s="1" t="n">
        <v>46140</v>
      </c>
      <c r="D308" t="inlineStr">
        <is>
          <t>VÄSTRA GÖTALANDS LÄN</t>
        </is>
      </c>
      <c r="E308" t="inlineStr">
        <is>
          <t>VÅRGÅRDA</t>
        </is>
      </c>
      <c r="G308" t="n">
        <v>0.5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18127-2026</t>
        </is>
      </c>
      <c r="B309" s="1" t="n">
        <v>46125.59075231481</v>
      </c>
      <c r="C309" s="1" t="n">
        <v>46140</v>
      </c>
      <c r="D309" t="inlineStr">
        <is>
          <t>VÄSTRA GÖTALANDS LÄN</t>
        </is>
      </c>
      <c r="E309" t="inlineStr">
        <is>
          <t>VÅRGÅRDA</t>
        </is>
      </c>
      <c r="G309" t="n">
        <v>0.8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54991-2024</t>
        </is>
      </c>
      <c r="B310" s="1" t="n">
        <v>45620.85204861111</v>
      </c>
      <c r="C310" s="1" t="n">
        <v>46140</v>
      </c>
      <c r="D310" t="inlineStr">
        <is>
          <t>VÄSTRA GÖTALANDS LÄN</t>
        </is>
      </c>
      <c r="E310" t="inlineStr">
        <is>
          <t>VÅRGÅRDA</t>
        </is>
      </c>
      <c r="G310" t="n">
        <v>2.6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54097-2024</t>
        </is>
      </c>
      <c r="B311" s="1" t="n">
        <v>45616.51472222222</v>
      </c>
      <c r="C311" s="1" t="n">
        <v>46140</v>
      </c>
      <c r="D311" t="inlineStr">
        <is>
          <t>VÄSTRA GÖTALANDS LÄN</t>
        </is>
      </c>
      <c r="E311" t="inlineStr">
        <is>
          <t>VÅRGÅRDA</t>
        </is>
      </c>
      <c r="G311" t="n">
        <v>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17984-2026</t>
        </is>
      </c>
      <c r="B312" s="1" t="n">
        <v>46124.55144675926</v>
      </c>
      <c r="C312" s="1" t="n">
        <v>46140</v>
      </c>
      <c r="D312" t="inlineStr">
        <is>
          <t>VÄSTRA GÖTALANDS LÄN</t>
        </is>
      </c>
      <c r="E312" t="inlineStr">
        <is>
          <t>VÅRGÅRDA</t>
        </is>
      </c>
      <c r="G312" t="n">
        <v>3.8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17864-2026</t>
        </is>
      </c>
      <c r="B313" s="1" t="n">
        <v>46122.50796296296</v>
      </c>
      <c r="C313" s="1" t="n">
        <v>46140</v>
      </c>
      <c r="D313" t="inlineStr">
        <is>
          <t>VÄSTRA GÖTALANDS LÄN</t>
        </is>
      </c>
      <c r="E313" t="inlineStr">
        <is>
          <t>VÅRGÅRDA</t>
        </is>
      </c>
      <c r="G313" t="n">
        <v>0.9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4065-2023</t>
        </is>
      </c>
      <c r="B314" s="1" t="n">
        <v>44952</v>
      </c>
      <c r="C314" s="1" t="n">
        <v>46140</v>
      </c>
      <c r="D314" t="inlineStr">
        <is>
          <t>VÄSTRA GÖTALANDS LÄN</t>
        </is>
      </c>
      <c r="E314" t="inlineStr">
        <is>
          <t>VÅRGÅRDA</t>
        </is>
      </c>
      <c r="G314" t="n">
        <v>1.6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44431-2023</t>
        </is>
      </c>
      <c r="B315" s="1" t="n">
        <v>45189.35152777778</v>
      </c>
      <c r="C315" s="1" t="n">
        <v>46140</v>
      </c>
      <c r="D315" t="inlineStr">
        <is>
          <t>VÄSTRA GÖTALANDS LÄN</t>
        </is>
      </c>
      <c r="E315" t="inlineStr">
        <is>
          <t>VÅRGÅRDA</t>
        </is>
      </c>
      <c r="G315" t="n">
        <v>2.5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52016-2021</t>
        </is>
      </c>
      <c r="B316" s="1" t="n">
        <v>44463</v>
      </c>
      <c r="C316" s="1" t="n">
        <v>46140</v>
      </c>
      <c r="D316" t="inlineStr">
        <is>
          <t>VÄSTRA GÖTALANDS LÄN</t>
        </is>
      </c>
      <c r="E316" t="inlineStr">
        <is>
          <t>VÅRGÅRDA</t>
        </is>
      </c>
      <c r="G316" t="n">
        <v>3.2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18197-2026</t>
        </is>
      </c>
      <c r="B317" s="1" t="n">
        <v>46125.80462962963</v>
      </c>
      <c r="C317" s="1" t="n">
        <v>46140</v>
      </c>
      <c r="D317" t="inlineStr">
        <is>
          <t>VÄSTRA GÖTALANDS LÄN</t>
        </is>
      </c>
      <c r="E317" t="inlineStr">
        <is>
          <t>VÅRGÅRDA</t>
        </is>
      </c>
      <c r="G317" t="n">
        <v>0.8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18071-2026</t>
        </is>
      </c>
      <c r="B318" s="1" t="n">
        <v>46125.4880787037</v>
      </c>
      <c r="C318" s="1" t="n">
        <v>46140</v>
      </c>
      <c r="D318" t="inlineStr">
        <is>
          <t>VÄSTRA GÖTALANDS LÄN</t>
        </is>
      </c>
      <c r="E318" t="inlineStr">
        <is>
          <t>VÅRGÅRDA</t>
        </is>
      </c>
      <c r="G318" t="n">
        <v>0.5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17983-2026</t>
        </is>
      </c>
      <c r="B319" s="1" t="n">
        <v>46124.55091435185</v>
      </c>
      <c r="C319" s="1" t="n">
        <v>46140</v>
      </c>
      <c r="D319" t="inlineStr">
        <is>
          <t>VÄSTRA GÖTALANDS LÄN</t>
        </is>
      </c>
      <c r="E319" t="inlineStr">
        <is>
          <t>VÅRGÅRDA</t>
        </is>
      </c>
      <c r="G319" t="n">
        <v>0.7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8456-2024</t>
        </is>
      </c>
      <c r="B320" s="1" t="n">
        <v>45354</v>
      </c>
      <c r="C320" s="1" t="n">
        <v>46140</v>
      </c>
      <c r="D320" t="inlineStr">
        <is>
          <t>VÄSTRA GÖTALANDS LÄN</t>
        </is>
      </c>
      <c r="E320" t="inlineStr">
        <is>
          <t>VÅRGÅRDA</t>
        </is>
      </c>
      <c r="G320" t="n">
        <v>4.3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17985-2026</t>
        </is>
      </c>
      <c r="B321" s="1" t="n">
        <v>46124.61517361111</v>
      </c>
      <c r="C321" s="1" t="n">
        <v>46140</v>
      </c>
      <c r="D321" t="inlineStr">
        <is>
          <t>VÄSTRA GÖTALANDS LÄN</t>
        </is>
      </c>
      <c r="E321" t="inlineStr">
        <is>
          <t>VÅRGÅRDA</t>
        </is>
      </c>
      <c r="G321" t="n">
        <v>2.6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17952-2026</t>
        </is>
      </c>
      <c r="B322" s="1" t="n">
        <v>46122.67706018518</v>
      </c>
      <c r="C322" s="1" t="n">
        <v>46140</v>
      </c>
      <c r="D322" t="inlineStr">
        <is>
          <t>VÄSTRA GÖTALANDS LÄN</t>
        </is>
      </c>
      <c r="E322" t="inlineStr">
        <is>
          <t>VÅRGÅRDA</t>
        </is>
      </c>
      <c r="G322" t="n">
        <v>0.6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11748-2026</t>
        </is>
      </c>
      <c r="B323" s="1" t="n">
        <v>46084.66663194444</v>
      </c>
      <c r="C323" s="1" t="n">
        <v>46140</v>
      </c>
      <c r="D323" t="inlineStr">
        <is>
          <t>VÄSTRA GÖTALANDS LÄN</t>
        </is>
      </c>
      <c r="E323" t="inlineStr">
        <is>
          <t>VÅRGÅRDA</t>
        </is>
      </c>
      <c r="G323" t="n">
        <v>1.4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18463-2026</t>
        </is>
      </c>
      <c r="B324" s="1" t="n">
        <v>46127.4143287037</v>
      </c>
      <c r="C324" s="1" t="n">
        <v>46140</v>
      </c>
      <c r="D324" t="inlineStr">
        <is>
          <t>VÄSTRA GÖTALANDS LÄN</t>
        </is>
      </c>
      <c r="E324" t="inlineStr">
        <is>
          <t>VÅRGÅRDA</t>
        </is>
      </c>
      <c r="G324" t="n">
        <v>0.8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18249-2026</t>
        </is>
      </c>
      <c r="B325" s="1" t="n">
        <v>46126.35857638889</v>
      </c>
      <c r="C325" s="1" t="n">
        <v>46140</v>
      </c>
      <c r="D325" t="inlineStr">
        <is>
          <t>VÄSTRA GÖTALANDS LÄN</t>
        </is>
      </c>
      <c r="E325" t="inlineStr">
        <is>
          <t>VÅRGÅRDA</t>
        </is>
      </c>
      <c r="G325" t="n">
        <v>0.7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18332-2026</t>
        </is>
      </c>
      <c r="B326" s="1" t="n">
        <v>46126.53123842592</v>
      </c>
      <c r="C326" s="1" t="n">
        <v>46140</v>
      </c>
      <c r="D326" t="inlineStr">
        <is>
          <t>VÄSTRA GÖTALANDS LÄN</t>
        </is>
      </c>
      <c r="E326" t="inlineStr">
        <is>
          <t>VÅRGÅRDA</t>
        </is>
      </c>
      <c r="G326" t="n">
        <v>0.6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18423-2026</t>
        </is>
      </c>
      <c r="B327" s="1" t="n">
        <v>46126.95652777778</v>
      </c>
      <c r="C327" s="1" t="n">
        <v>46140</v>
      </c>
      <c r="D327" t="inlineStr">
        <is>
          <t>VÄSTRA GÖTALANDS LÄN</t>
        </is>
      </c>
      <c r="E327" t="inlineStr">
        <is>
          <t>VÅRGÅRDA</t>
        </is>
      </c>
      <c r="G327" t="n">
        <v>1.1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18461-2026</t>
        </is>
      </c>
      <c r="B328" s="1" t="n">
        <v>46127.40711805555</v>
      </c>
      <c r="C328" s="1" t="n">
        <v>46140</v>
      </c>
      <c r="D328" t="inlineStr">
        <is>
          <t>VÄSTRA GÖTALANDS LÄN</t>
        </is>
      </c>
      <c r="E328" t="inlineStr">
        <is>
          <t>VÅRGÅRDA</t>
        </is>
      </c>
      <c r="G328" t="n">
        <v>0.9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11869-2026</t>
        </is>
      </c>
      <c r="B329" s="1" t="n">
        <v>46085.48726851852</v>
      </c>
      <c r="C329" s="1" t="n">
        <v>46140</v>
      </c>
      <c r="D329" t="inlineStr">
        <is>
          <t>VÄSTRA GÖTALANDS LÄN</t>
        </is>
      </c>
      <c r="E329" t="inlineStr">
        <is>
          <t>VÅRGÅRDA</t>
        </is>
      </c>
      <c r="G329" t="n">
        <v>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60191-2022</t>
        </is>
      </c>
      <c r="B330" s="1" t="n">
        <v>44910</v>
      </c>
      <c r="C330" s="1" t="n">
        <v>46140</v>
      </c>
      <c r="D330" t="inlineStr">
        <is>
          <t>VÄSTRA GÖTALANDS LÄN</t>
        </is>
      </c>
      <c r="E330" t="inlineStr">
        <is>
          <t>VÅRGÅRDA</t>
        </is>
      </c>
      <c r="G330" t="n">
        <v>2.8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12173-2026</t>
        </is>
      </c>
      <c r="B331" s="1" t="n">
        <v>46086.66069444444</v>
      </c>
      <c r="C331" s="1" t="n">
        <v>46140</v>
      </c>
      <c r="D331" t="inlineStr">
        <is>
          <t>VÄSTRA GÖTALANDS LÄN</t>
        </is>
      </c>
      <c r="E331" t="inlineStr">
        <is>
          <t>VÅRGÅRDA</t>
        </is>
      </c>
      <c r="G331" t="n">
        <v>0.9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55240-2023</t>
        </is>
      </c>
      <c r="B332" s="1" t="n">
        <v>45237.63732638889</v>
      </c>
      <c r="C332" s="1" t="n">
        <v>46140</v>
      </c>
      <c r="D332" t="inlineStr">
        <is>
          <t>VÄSTRA GÖTALANDS LÄN</t>
        </is>
      </c>
      <c r="E332" t="inlineStr">
        <is>
          <t>VÅRGÅRDA</t>
        </is>
      </c>
      <c r="G332" t="n">
        <v>0.7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616-2025</t>
        </is>
      </c>
      <c r="B333" s="1" t="n">
        <v>45664.60969907408</v>
      </c>
      <c r="C333" s="1" t="n">
        <v>46140</v>
      </c>
      <c r="D333" t="inlineStr">
        <is>
          <t>VÄSTRA GÖTALANDS LÄN</t>
        </is>
      </c>
      <c r="E333" t="inlineStr">
        <is>
          <t>VÅRGÅRDA</t>
        </is>
      </c>
      <c r="G333" t="n">
        <v>10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17761-2026</t>
        </is>
      </c>
      <c r="B334" s="1" t="n">
        <v>46122.3569212963</v>
      </c>
      <c r="C334" s="1" t="n">
        <v>46140</v>
      </c>
      <c r="D334" t="inlineStr">
        <is>
          <t>VÄSTRA GÖTALANDS LÄN</t>
        </is>
      </c>
      <c r="E334" t="inlineStr">
        <is>
          <t>VÅRGÅRDA</t>
        </is>
      </c>
      <c r="G334" t="n">
        <v>2.7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48718-2023</t>
        </is>
      </c>
      <c r="B335" s="1" t="n">
        <v>45208</v>
      </c>
      <c r="C335" s="1" t="n">
        <v>46140</v>
      </c>
      <c r="D335" t="inlineStr">
        <is>
          <t>VÄSTRA GÖTALANDS LÄN</t>
        </is>
      </c>
      <c r="E335" t="inlineStr">
        <is>
          <t>VÅRGÅRDA</t>
        </is>
      </c>
      <c r="G335" t="n">
        <v>0.9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16590-2025</t>
        </is>
      </c>
      <c r="B336" s="1" t="n">
        <v>45752.89317129629</v>
      </c>
      <c r="C336" s="1" t="n">
        <v>46140</v>
      </c>
      <c r="D336" t="inlineStr">
        <is>
          <t>VÄSTRA GÖTALANDS LÄN</t>
        </is>
      </c>
      <c r="E336" t="inlineStr">
        <is>
          <t>VÅRGÅRDA</t>
        </is>
      </c>
      <c r="G336" t="n">
        <v>3.1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24611-2023</t>
        </is>
      </c>
      <c r="B337" s="1" t="n">
        <v>45084.33306712963</v>
      </c>
      <c r="C337" s="1" t="n">
        <v>46140</v>
      </c>
      <c r="D337" t="inlineStr">
        <is>
          <t>VÄSTRA GÖTALANDS LÄN</t>
        </is>
      </c>
      <c r="E337" t="inlineStr">
        <is>
          <t>VÅRGÅRDA</t>
        </is>
      </c>
      <c r="G337" t="n">
        <v>0.9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12665-2026</t>
        </is>
      </c>
      <c r="B338" s="1" t="n">
        <v>46091.52276620371</v>
      </c>
      <c r="C338" s="1" t="n">
        <v>46140</v>
      </c>
      <c r="D338" t="inlineStr">
        <is>
          <t>VÄSTRA GÖTALANDS LÄN</t>
        </is>
      </c>
      <c r="E338" t="inlineStr">
        <is>
          <t>VÅRGÅRDA</t>
        </is>
      </c>
      <c r="F338" t="inlineStr">
        <is>
          <t>Sveaskog</t>
        </is>
      </c>
      <c r="G338" t="n">
        <v>11.4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19293-2026</t>
        </is>
      </c>
      <c r="B339" s="1" t="n">
        <v>46133.32611111111</v>
      </c>
      <c r="C339" s="1" t="n">
        <v>46140</v>
      </c>
      <c r="D339" t="inlineStr">
        <is>
          <t>VÄSTRA GÖTALANDS LÄN</t>
        </is>
      </c>
      <c r="E339" t="inlineStr">
        <is>
          <t>VÅRGÅRDA</t>
        </is>
      </c>
      <c r="G339" t="n">
        <v>1.4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7047-2023</t>
        </is>
      </c>
      <c r="B340" s="1" t="n">
        <v>44968</v>
      </c>
      <c r="C340" s="1" t="n">
        <v>46140</v>
      </c>
      <c r="D340" t="inlineStr">
        <is>
          <t>VÄSTRA GÖTALANDS LÄN</t>
        </is>
      </c>
      <c r="E340" t="inlineStr">
        <is>
          <t>VÅRGÅRDA</t>
        </is>
      </c>
      <c r="G340" t="n">
        <v>1.9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59440-2023</t>
        </is>
      </c>
      <c r="B341" s="1" t="n">
        <v>45254</v>
      </c>
      <c r="C341" s="1" t="n">
        <v>46140</v>
      </c>
      <c r="D341" t="inlineStr">
        <is>
          <t>VÄSTRA GÖTALANDS LÄN</t>
        </is>
      </c>
      <c r="E341" t="inlineStr">
        <is>
          <t>VÅRGÅRDA</t>
        </is>
      </c>
      <c r="G341" t="n">
        <v>15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63073-2023</t>
        </is>
      </c>
      <c r="B342" s="1" t="n">
        <v>45273.00841435185</v>
      </c>
      <c r="C342" s="1" t="n">
        <v>46140</v>
      </c>
      <c r="D342" t="inlineStr">
        <is>
          <t>VÄSTRA GÖTALANDS LÄN</t>
        </is>
      </c>
      <c r="E342" t="inlineStr">
        <is>
          <t>VÅRGÅRDA</t>
        </is>
      </c>
      <c r="G342" t="n">
        <v>0.8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13100-2026</t>
        </is>
      </c>
      <c r="B343" s="1" t="n">
        <v>46093.41247685185</v>
      </c>
      <c r="C343" s="1" t="n">
        <v>46140</v>
      </c>
      <c r="D343" t="inlineStr">
        <is>
          <t>VÄSTRA GÖTALANDS LÄN</t>
        </is>
      </c>
      <c r="E343" t="inlineStr">
        <is>
          <t>VÅRGÅRDA</t>
        </is>
      </c>
      <c r="G343" t="n">
        <v>2.4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19794-2026</t>
        </is>
      </c>
      <c r="B344" s="1" t="n">
        <v>46135.51581018518</v>
      </c>
      <c r="C344" s="1" t="n">
        <v>46140</v>
      </c>
      <c r="D344" t="inlineStr">
        <is>
          <t>VÄSTRA GÖTALANDS LÄN</t>
        </is>
      </c>
      <c r="E344" t="inlineStr">
        <is>
          <t>VÅRGÅRDA</t>
        </is>
      </c>
      <c r="G344" t="n">
        <v>1.4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14787-2024</t>
        </is>
      </c>
      <c r="B345" s="1" t="n">
        <v>45397.7650462963</v>
      </c>
      <c r="C345" s="1" t="n">
        <v>46140</v>
      </c>
      <c r="D345" t="inlineStr">
        <is>
          <t>VÄSTRA GÖTALANDS LÄN</t>
        </is>
      </c>
      <c r="E345" t="inlineStr">
        <is>
          <t>VÅRGÅRDA</t>
        </is>
      </c>
      <c r="G345" t="n">
        <v>0.7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14789-2024</t>
        </is>
      </c>
      <c r="B346" s="1" t="n">
        <v>45397.81939814815</v>
      </c>
      <c r="C346" s="1" t="n">
        <v>46140</v>
      </c>
      <c r="D346" t="inlineStr">
        <is>
          <t>VÄSTRA GÖTALANDS LÄN</t>
        </is>
      </c>
      <c r="E346" t="inlineStr">
        <is>
          <t>VÅRGÅRDA</t>
        </is>
      </c>
      <c r="G346" t="n">
        <v>1.1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19513-2026</t>
        </is>
      </c>
      <c r="B347" s="1" t="n">
        <v>46134.34188657408</v>
      </c>
      <c r="C347" s="1" t="n">
        <v>46140</v>
      </c>
      <c r="D347" t="inlineStr">
        <is>
          <t>VÄSTRA GÖTALANDS LÄN</t>
        </is>
      </c>
      <c r="E347" t="inlineStr">
        <is>
          <t>VÅRGÅRDA</t>
        </is>
      </c>
      <c r="G347" t="n">
        <v>0.9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19796-2026</t>
        </is>
      </c>
      <c r="B348" s="1" t="n">
        <v>46135.51789351852</v>
      </c>
      <c r="C348" s="1" t="n">
        <v>46140</v>
      </c>
      <c r="D348" t="inlineStr">
        <is>
          <t>VÄSTRA GÖTALANDS LÄN</t>
        </is>
      </c>
      <c r="E348" t="inlineStr">
        <is>
          <t>VÅRGÅRDA</t>
        </is>
      </c>
      <c r="G348" t="n">
        <v>0.5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17336-2026</t>
        </is>
      </c>
      <c r="B349" s="1" t="n">
        <v>46119</v>
      </c>
      <c r="C349" s="1" t="n">
        <v>46140</v>
      </c>
      <c r="D349" t="inlineStr">
        <is>
          <t>VÄSTRA GÖTALANDS LÄN</t>
        </is>
      </c>
      <c r="E349" t="inlineStr">
        <is>
          <t>VÅRGÅRDA</t>
        </is>
      </c>
      <c r="G349" t="n">
        <v>1.4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17907-2026</t>
        </is>
      </c>
      <c r="B350" s="1" t="n">
        <v>46122</v>
      </c>
      <c r="C350" s="1" t="n">
        <v>46140</v>
      </c>
      <c r="D350" t="inlineStr">
        <is>
          <t>VÄSTRA GÖTALANDS LÄN</t>
        </is>
      </c>
      <c r="E350" t="inlineStr">
        <is>
          <t>VÅRGÅRDA</t>
        </is>
      </c>
      <c r="G350" t="n">
        <v>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17331-2026</t>
        </is>
      </c>
      <c r="B351" s="1" t="n">
        <v>46119</v>
      </c>
      <c r="C351" s="1" t="n">
        <v>46140</v>
      </c>
      <c r="D351" t="inlineStr">
        <is>
          <t>VÄSTRA GÖTALANDS LÄN</t>
        </is>
      </c>
      <c r="E351" t="inlineStr">
        <is>
          <t>VÅRGÅRDA</t>
        </is>
      </c>
      <c r="G351" t="n">
        <v>2.4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19795-2026</t>
        </is>
      </c>
      <c r="B352" s="1" t="n">
        <v>46135.51738425926</v>
      </c>
      <c r="C352" s="1" t="n">
        <v>46140</v>
      </c>
      <c r="D352" t="inlineStr">
        <is>
          <t>VÄSTRA GÖTALANDS LÄN</t>
        </is>
      </c>
      <c r="E352" t="inlineStr">
        <is>
          <t>VÅRGÅRDA</t>
        </is>
      </c>
      <c r="G352" t="n">
        <v>2.3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19511-2026</t>
        </is>
      </c>
      <c r="B353" s="1" t="n">
        <v>46134.33997685185</v>
      </c>
      <c r="C353" s="1" t="n">
        <v>46140</v>
      </c>
      <c r="D353" t="inlineStr">
        <is>
          <t>VÄSTRA GÖTALANDS LÄN</t>
        </is>
      </c>
      <c r="E353" t="inlineStr">
        <is>
          <t>VÅRGÅRDA</t>
        </is>
      </c>
      <c r="G353" t="n">
        <v>0.5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26362-2024</t>
        </is>
      </c>
      <c r="B354" s="1" t="n">
        <v>45469.38258101852</v>
      </c>
      <c r="C354" s="1" t="n">
        <v>46140</v>
      </c>
      <c r="D354" t="inlineStr">
        <is>
          <t>VÄSTRA GÖTALANDS LÄN</t>
        </is>
      </c>
      <c r="E354" t="inlineStr">
        <is>
          <t>VÅRGÅRDA</t>
        </is>
      </c>
      <c r="G354" t="n">
        <v>3.2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20195-2026</t>
        </is>
      </c>
      <c r="B355" s="1" t="n">
        <v>46139.37625</v>
      </c>
      <c r="C355" s="1" t="n">
        <v>46140</v>
      </c>
      <c r="D355" t="inlineStr">
        <is>
          <t>VÄSTRA GÖTALANDS LÄN</t>
        </is>
      </c>
      <c r="E355" t="inlineStr">
        <is>
          <t>VÅRGÅRDA</t>
        </is>
      </c>
      <c r="G355" t="n">
        <v>0.8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18331-2026</t>
        </is>
      </c>
      <c r="B356" s="1" t="n">
        <v>46126.52763888889</v>
      </c>
      <c r="C356" s="1" t="n">
        <v>46140</v>
      </c>
      <c r="D356" t="inlineStr">
        <is>
          <t>VÄSTRA GÖTALANDS LÄN</t>
        </is>
      </c>
      <c r="E356" t="inlineStr">
        <is>
          <t>VÅRGÅRDA</t>
        </is>
      </c>
      <c r="G356" t="n">
        <v>1.8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17986-2026</t>
        </is>
      </c>
      <c r="B357" s="1" t="n">
        <v>46124.63586805556</v>
      </c>
      <c r="C357" s="1" t="n">
        <v>46140</v>
      </c>
      <c r="D357" t="inlineStr">
        <is>
          <t>VÄSTRA GÖTALANDS LÄN</t>
        </is>
      </c>
      <c r="E357" t="inlineStr">
        <is>
          <t>VÅRGÅRDA</t>
        </is>
      </c>
      <c r="G357" t="n">
        <v>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7732-2023</t>
        </is>
      </c>
      <c r="B358" s="1" t="n">
        <v>44973</v>
      </c>
      <c r="C358" s="1" t="n">
        <v>46140</v>
      </c>
      <c r="D358" t="inlineStr">
        <is>
          <t>VÄSTRA GÖTALANDS LÄN</t>
        </is>
      </c>
      <c r="E358" t="inlineStr">
        <is>
          <t>VÅRGÅRDA</t>
        </is>
      </c>
      <c r="F358" t="inlineStr">
        <is>
          <t>Sveaskog</t>
        </is>
      </c>
      <c r="G358" t="n">
        <v>9.300000000000001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43384-2023</t>
        </is>
      </c>
      <c r="B359" s="1" t="n">
        <v>45183.85680555556</v>
      </c>
      <c r="C359" s="1" t="n">
        <v>46140</v>
      </c>
      <c r="D359" t="inlineStr">
        <is>
          <t>VÄSTRA GÖTALANDS LÄN</t>
        </is>
      </c>
      <c r="E359" t="inlineStr">
        <is>
          <t>VÅRGÅRDA</t>
        </is>
      </c>
      <c r="G359" t="n">
        <v>2.2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44669-2023</t>
        </is>
      </c>
      <c r="B360" s="1" t="n">
        <v>45189</v>
      </c>
      <c r="C360" s="1" t="n">
        <v>46140</v>
      </c>
      <c r="D360" t="inlineStr">
        <is>
          <t>VÄSTRA GÖTALANDS LÄN</t>
        </is>
      </c>
      <c r="E360" t="inlineStr">
        <is>
          <t>VÅRGÅRDA</t>
        </is>
      </c>
      <c r="G360" t="n">
        <v>0.7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2995-2024</t>
        </is>
      </c>
      <c r="B361" s="1" t="n">
        <v>45315</v>
      </c>
      <c r="C361" s="1" t="n">
        <v>46140</v>
      </c>
      <c r="D361" t="inlineStr">
        <is>
          <t>VÄSTRA GÖTALANDS LÄN</t>
        </is>
      </c>
      <c r="E361" t="inlineStr">
        <is>
          <t>VÅRGÅRDA</t>
        </is>
      </c>
      <c r="G361" t="n">
        <v>0.6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4845-2024</t>
        </is>
      </c>
      <c r="B362" s="1" t="n">
        <v>45329.35953703704</v>
      </c>
      <c r="C362" s="1" t="n">
        <v>46140</v>
      </c>
      <c r="D362" t="inlineStr">
        <is>
          <t>VÄSTRA GÖTALANDS LÄN</t>
        </is>
      </c>
      <c r="E362" t="inlineStr">
        <is>
          <t>VÅRGÅRDA</t>
        </is>
      </c>
      <c r="G362" t="n">
        <v>4.4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44744-2023</t>
        </is>
      </c>
      <c r="B363" s="1" t="n">
        <v>45190.39100694445</v>
      </c>
      <c r="C363" s="1" t="n">
        <v>46140</v>
      </c>
      <c r="D363" t="inlineStr">
        <is>
          <t>VÄSTRA GÖTALANDS LÄN</t>
        </is>
      </c>
      <c r="E363" t="inlineStr">
        <is>
          <t>VÅRGÅRDA</t>
        </is>
      </c>
      <c r="G363" t="n">
        <v>2.5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21535-2025</t>
        </is>
      </c>
      <c r="B364" s="1" t="n">
        <v>45782.65741898148</v>
      </c>
      <c r="C364" s="1" t="n">
        <v>46140</v>
      </c>
      <c r="D364" t="inlineStr">
        <is>
          <t>VÄSTRA GÖTALANDS LÄN</t>
        </is>
      </c>
      <c r="E364" t="inlineStr">
        <is>
          <t>VÅRGÅRDA</t>
        </is>
      </c>
      <c r="G364" t="n">
        <v>3.6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23950-2025</t>
        </is>
      </c>
      <c r="B365" s="1" t="n">
        <v>45796.35803240741</v>
      </c>
      <c r="C365" s="1" t="n">
        <v>46140</v>
      </c>
      <c r="D365" t="inlineStr">
        <is>
          <t>VÄSTRA GÖTALANDS LÄN</t>
        </is>
      </c>
      <c r="E365" t="inlineStr">
        <is>
          <t>VÅRGÅRDA</t>
        </is>
      </c>
      <c r="G365" t="n">
        <v>0.6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45309-2024</t>
        </is>
      </c>
      <c r="B366" s="1" t="n">
        <v>45576.43064814815</v>
      </c>
      <c r="C366" s="1" t="n">
        <v>46140</v>
      </c>
      <c r="D366" t="inlineStr">
        <is>
          <t>VÄSTRA GÖTALANDS LÄN</t>
        </is>
      </c>
      <c r="E366" t="inlineStr">
        <is>
          <t>VÅRGÅRDA</t>
        </is>
      </c>
      <c r="G366" t="n">
        <v>1.8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25324-2025</t>
        </is>
      </c>
      <c r="B367" s="1" t="n">
        <v>45800</v>
      </c>
      <c r="C367" s="1" t="n">
        <v>46140</v>
      </c>
      <c r="D367" t="inlineStr">
        <is>
          <t>VÄSTRA GÖTALANDS LÄN</t>
        </is>
      </c>
      <c r="E367" t="inlineStr">
        <is>
          <t>VÅRGÅRDA</t>
        </is>
      </c>
      <c r="G367" t="n">
        <v>1.8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25326-2025</t>
        </is>
      </c>
      <c r="B368" s="1" t="n">
        <v>45800</v>
      </c>
      <c r="C368" s="1" t="n">
        <v>46140</v>
      </c>
      <c r="D368" t="inlineStr">
        <is>
          <t>VÄSTRA GÖTALANDS LÄN</t>
        </is>
      </c>
      <c r="E368" t="inlineStr">
        <is>
          <t>VÅRGÅRDA</t>
        </is>
      </c>
      <c r="G368" t="n">
        <v>0.9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25906-2025</t>
        </is>
      </c>
      <c r="B369" s="1" t="n">
        <v>45804.55729166666</v>
      </c>
      <c r="C369" s="1" t="n">
        <v>46140</v>
      </c>
      <c r="D369" t="inlineStr">
        <is>
          <t>VÄSTRA GÖTALANDS LÄN</t>
        </is>
      </c>
      <c r="E369" t="inlineStr">
        <is>
          <t>VÅRGÅRDA</t>
        </is>
      </c>
      <c r="G369" t="n">
        <v>0.6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25909-2025</t>
        </is>
      </c>
      <c r="B370" s="1" t="n">
        <v>45804.55820601852</v>
      </c>
      <c r="C370" s="1" t="n">
        <v>46140</v>
      </c>
      <c r="D370" t="inlineStr">
        <is>
          <t>VÄSTRA GÖTALANDS LÄN</t>
        </is>
      </c>
      <c r="E370" t="inlineStr">
        <is>
          <t>VÅRGÅRDA</t>
        </is>
      </c>
      <c r="G370" t="n">
        <v>0.5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5448-2025</t>
        </is>
      </c>
      <c r="B371" s="1" t="n">
        <v>45692.88263888889</v>
      </c>
      <c r="C371" s="1" t="n">
        <v>46140</v>
      </c>
      <c r="D371" t="inlineStr">
        <is>
          <t>VÄSTRA GÖTALANDS LÄN</t>
        </is>
      </c>
      <c r="E371" t="inlineStr">
        <is>
          <t>VÅRGÅRDA</t>
        </is>
      </c>
      <c r="G371" t="n">
        <v>1.1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25911-2025</t>
        </is>
      </c>
      <c r="B372" s="1" t="n">
        <v>45804.55912037037</v>
      </c>
      <c r="C372" s="1" t="n">
        <v>46140</v>
      </c>
      <c r="D372" t="inlineStr">
        <is>
          <t>VÄSTRA GÖTALANDS LÄN</t>
        </is>
      </c>
      <c r="E372" t="inlineStr">
        <is>
          <t>VÅRGÅRDA</t>
        </is>
      </c>
      <c r="G372" t="n">
        <v>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59325-2023</t>
        </is>
      </c>
      <c r="B373" s="1" t="n">
        <v>45253</v>
      </c>
      <c r="C373" s="1" t="n">
        <v>46140</v>
      </c>
      <c r="D373" t="inlineStr">
        <is>
          <t>VÄSTRA GÖTALANDS LÄN</t>
        </is>
      </c>
      <c r="E373" t="inlineStr">
        <is>
          <t>VÅRGÅRDA</t>
        </is>
      </c>
      <c r="G373" t="n">
        <v>3.7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54586-2023</t>
        </is>
      </c>
      <c r="B374" s="1" t="n">
        <v>45233.77412037037</v>
      </c>
      <c r="C374" s="1" t="n">
        <v>46140</v>
      </c>
      <c r="D374" t="inlineStr">
        <is>
          <t>VÄSTRA GÖTALANDS LÄN</t>
        </is>
      </c>
      <c r="E374" t="inlineStr">
        <is>
          <t>VÅRGÅRDA</t>
        </is>
      </c>
      <c r="G374" t="n">
        <v>3.9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27249-2025</t>
        </is>
      </c>
      <c r="B375" s="1" t="n">
        <v>45812.46844907408</v>
      </c>
      <c r="C375" s="1" t="n">
        <v>46140</v>
      </c>
      <c r="D375" t="inlineStr">
        <is>
          <t>VÄSTRA GÖTALANDS LÄN</t>
        </is>
      </c>
      <c r="E375" t="inlineStr">
        <is>
          <t>VÅRGÅRDA</t>
        </is>
      </c>
      <c r="G375" t="n">
        <v>3.1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27112-2025</t>
        </is>
      </c>
      <c r="B376" s="1" t="n">
        <v>45811.73366898148</v>
      </c>
      <c r="C376" s="1" t="n">
        <v>46140</v>
      </c>
      <c r="D376" t="inlineStr">
        <is>
          <t>VÄSTRA GÖTALANDS LÄN</t>
        </is>
      </c>
      <c r="E376" t="inlineStr">
        <is>
          <t>VÅRGÅRDA</t>
        </is>
      </c>
      <c r="G376" t="n">
        <v>1.6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26964-2025</t>
        </is>
      </c>
      <c r="B377" s="1" t="n">
        <v>45811.46918981482</v>
      </c>
      <c r="C377" s="1" t="n">
        <v>46140</v>
      </c>
      <c r="D377" t="inlineStr">
        <is>
          <t>VÄSTRA GÖTALANDS LÄN</t>
        </is>
      </c>
      <c r="E377" t="inlineStr">
        <is>
          <t>VÅRGÅRDA</t>
        </is>
      </c>
      <c r="G377" t="n">
        <v>1.2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27227-2025</t>
        </is>
      </c>
      <c r="B378" s="1" t="n">
        <v>45812.43118055556</v>
      </c>
      <c r="C378" s="1" t="n">
        <v>46140</v>
      </c>
      <c r="D378" t="inlineStr">
        <is>
          <t>VÄSTRA GÖTALANDS LÄN</t>
        </is>
      </c>
      <c r="E378" t="inlineStr">
        <is>
          <t>VÅRGÅRDA</t>
        </is>
      </c>
      <c r="G378" t="n">
        <v>3.1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27109-2025</t>
        </is>
      </c>
      <c r="B379" s="1" t="n">
        <v>45811.73126157407</v>
      </c>
      <c r="C379" s="1" t="n">
        <v>46140</v>
      </c>
      <c r="D379" t="inlineStr">
        <is>
          <t>VÄSTRA GÖTALANDS LÄN</t>
        </is>
      </c>
      <c r="E379" t="inlineStr">
        <is>
          <t>VÅRGÅRDA</t>
        </is>
      </c>
      <c r="G379" t="n">
        <v>0.7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27110-2025</t>
        </is>
      </c>
      <c r="B380" s="1" t="n">
        <v>45811.73269675926</v>
      </c>
      <c r="C380" s="1" t="n">
        <v>46140</v>
      </c>
      <c r="D380" t="inlineStr">
        <is>
          <t>VÄSTRA GÖTALANDS LÄN</t>
        </is>
      </c>
      <c r="E380" t="inlineStr">
        <is>
          <t>VÅRGÅRDA</t>
        </is>
      </c>
      <c r="G380" t="n">
        <v>1.5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27585-2025</t>
        </is>
      </c>
      <c r="B381" s="1" t="n">
        <v>45813.50371527778</v>
      </c>
      <c r="C381" s="1" t="n">
        <v>46140</v>
      </c>
      <c r="D381" t="inlineStr">
        <is>
          <t>VÄSTRA GÖTALANDS LÄN</t>
        </is>
      </c>
      <c r="E381" t="inlineStr">
        <is>
          <t>VÅRGÅRDA</t>
        </is>
      </c>
      <c r="G381" t="n">
        <v>1.9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54185-2024</t>
        </is>
      </c>
      <c r="B382" s="1" t="n">
        <v>45616.64060185185</v>
      </c>
      <c r="C382" s="1" t="n">
        <v>46140</v>
      </c>
      <c r="D382" t="inlineStr">
        <is>
          <t>VÄSTRA GÖTALANDS LÄN</t>
        </is>
      </c>
      <c r="E382" t="inlineStr">
        <is>
          <t>VÅRGÅRDA</t>
        </is>
      </c>
      <c r="G382" t="n">
        <v>5.1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27141-2024</t>
        </is>
      </c>
      <c r="B383" s="1" t="n">
        <v>45471.55196759259</v>
      </c>
      <c r="C383" s="1" t="n">
        <v>46140</v>
      </c>
      <c r="D383" t="inlineStr">
        <is>
          <t>VÄSTRA GÖTALANDS LÄN</t>
        </is>
      </c>
      <c r="E383" t="inlineStr">
        <is>
          <t>VÅRGÅRDA</t>
        </is>
      </c>
      <c r="G383" t="n">
        <v>2.5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20275-2025</t>
        </is>
      </c>
      <c r="B384" s="1" t="n">
        <v>45774.32253472223</v>
      </c>
      <c r="C384" s="1" t="n">
        <v>46140</v>
      </c>
      <c r="D384" t="inlineStr">
        <is>
          <t>VÄSTRA GÖTALANDS LÄN</t>
        </is>
      </c>
      <c r="E384" t="inlineStr">
        <is>
          <t>VÅRGÅRDA</t>
        </is>
      </c>
      <c r="G384" t="n">
        <v>3.8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28049-2025</t>
        </is>
      </c>
      <c r="B385" s="1" t="n">
        <v>45817.65653935185</v>
      </c>
      <c r="C385" s="1" t="n">
        <v>46140</v>
      </c>
      <c r="D385" t="inlineStr">
        <is>
          <t>VÄSTRA GÖTALANDS LÄN</t>
        </is>
      </c>
      <c r="E385" t="inlineStr">
        <is>
          <t>VÅRGÅRDA</t>
        </is>
      </c>
      <c r="G385" t="n">
        <v>2.4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28152-2025</t>
        </is>
      </c>
      <c r="B386" s="1" t="n">
        <v>45818.35734953704</v>
      </c>
      <c r="C386" s="1" t="n">
        <v>46140</v>
      </c>
      <c r="D386" t="inlineStr">
        <is>
          <t>VÄSTRA GÖTALANDS LÄN</t>
        </is>
      </c>
      <c r="E386" t="inlineStr">
        <is>
          <t>VÅRGÅRDA</t>
        </is>
      </c>
      <c r="G386" t="n">
        <v>2.3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28052-2025</t>
        </is>
      </c>
      <c r="B387" s="1" t="n">
        <v>45817.65847222223</v>
      </c>
      <c r="C387" s="1" t="n">
        <v>46140</v>
      </c>
      <c r="D387" t="inlineStr">
        <is>
          <t>VÄSTRA GÖTALANDS LÄN</t>
        </is>
      </c>
      <c r="E387" t="inlineStr">
        <is>
          <t>VÅRGÅRDA</t>
        </is>
      </c>
      <c r="G387" t="n">
        <v>0.8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30079-2025</t>
        </is>
      </c>
      <c r="B388" s="1" t="n">
        <v>45826.64440972222</v>
      </c>
      <c r="C388" s="1" t="n">
        <v>46140</v>
      </c>
      <c r="D388" t="inlineStr">
        <is>
          <t>VÄSTRA GÖTALANDS LÄN</t>
        </is>
      </c>
      <c r="E388" t="inlineStr">
        <is>
          <t>VÅRGÅRDA</t>
        </is>
      </c>
      <c r="G388" t="n">
        <v>1.3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13034-2025</t>
        </is>
      </c>
      <c r="B389" s="1" t="n">
        <v>45734.57408564815</v>
      </c>
      <c r="C389" s="1" t="n">
        <v>46140</v>
      </c>
      <c r="D389" t="inlineStr">
        <is>
          <t>VÄSTRA GÖTALANDS LÄN</t>
        </is>
      </c>
      <c r="E389" t="inlineStr">
        <is>
          <t>VÅRGÅRDA</t>
        </is>
      </c>
      <c r="G389" t="n">
        <v>0.4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10924-2025</t>
        </is>
      </c>
      <c r="B390" s="1" t="n">
        <v>45722.83402777778</v>
      </c>
      <c r="C390" s="1" t="n">
        <v>46140</v>
      </c>
      <c r="D390" t="inlineStr">
        <is>
          <t>VÄSTRA GÖTALANDS LÄN</t>
        </is>
      </c>
      <c r="E390" t="inlineStr">
        <is>
          <t>VÅRGÅRDA</t>
        </is>
      </c>
      <c r="G390" t="n">
        <v>1.8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13122-2025</t>
        </is>
      </c>
      <c r="B391" s="1" t="n">
        <v>45734.80390046296</v>
      </c>
      <c r="C391" s="1" t="n">
        <v>46140</v>
      </c>
      <c r="D391" t="inlineStr">
        <is>
          <t>VÄSTRA GÖTALANDS LÄN</t>
        </is>
      </c>
      <c r="E391" t="inlineStr">
        <is>
          <t>VÅRGÅRDA</t>
        </is>
      </c>
      <c r="G391" t="n">
        <v>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44421-2024</t>
        </is>
      </c>
      <c r="B392" s="1" t="n">
        <v>45573.86858796296</v>
      </c>
      <c r="C392" s="1" t="n">
        <v>46140</v>
      </c>
      <c r="D392" t="inlineStr">
        <is>
          <t>VÄSTRA GÖTALANDS LÄN</t>
        </is>
      </c>
      <c r="E392" t="inlineStr">
        <is>
          <t>VÅRGÅRDA</t>
        </is>
      </c>
      <c r="G392" t="n">
        <v>4.3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35621-2025</t>
        </is>
      </c>
      <c r="B393" s="1" t="n">
        <v>45859.4146875</v>
      </c>
      <c r="C393" s="1" t="n">
        <v>46140</v>
      </c>
      <c r="D393" t="inlineStr">
        <is>
          <t>VÄSTRA GÖTALANDS LÄN</t>
        </is>
      </c>
      <c r="E393" t="inlineStr">
        <is>
          <t>VÅRGÅRDA</t>
        </is>
      </c>
      <c r="G393" t="n">
        <v>1.1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56637-2024</t>
        </is>
      </c>
      <c r="B394" s="1" t="n">
        <v>45625.69395833334</v>
      </c>
      <c r="C394" s="1" t="n">
        <v>46140</v>
      </c>
      <c r="D394" t="inlineStr">
        <is>
          <t>VÄSTRA GÖTALANDS LÄN</t>
        </is>
      </c>
      <c r="E394" t="inlineStr">
        <is>
          <t>VÅRGÅRDA</t>
        </is>
      </c>
      <c r="G394" t="n">
        <v>4.3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36638-2025</t>
        </is>
      </c>
      <c r="B395" s="1" t="n">
        <v>45870.73099537037</v>
      </c>
      <c r="C395" s="1" t="n">
        <v>46140</v>
      </c>
      <c r="D395" t="inlineStr">
        <is>
          <t>VÄSTRA GÖTALANDS LÄN</t>
        </is>
      </c>
      <c r="E395" t="inlineStr">
        <is>
          <t>VÅRGÅRDA</t>
        </is>
      </c>
      <c r="G395" t="n">
        <v>2.2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36639-2025</t>
        </is>
      </c>
      <c r="B396" s="1" t="n">
        <v>45870.73174768518</v>
      </c>
      <c r="C396" s="1" t="n">
        <v>46140</v>
      </c>
      <c r="D396" t="inlineStr">
        <is>
          <t>VÄSTRA GÖTALANDS LÄN</t>
        </is>
      </c>
      <c r="E396" t="inlineStr">
        <is>
          <t>VÅRGÅRDA</t>
        </is>
      </c>
      <c r="G396" t="n">
        <v>0.6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>
      <c r="A397" t="inlineStr">
        <is>
          <t>A 36637-2025</t>
        </is>
      </c>
      <c r="B397" s="1" t="n">
        <v>45870.73012731481</v>
      </c>
      <c r="C397" s="1" t="n">
        <v>46140</v>
      </c>
      <c r="D397" t="inlineStr">
        <is>
          <t>VÄSTRA GÖTALANDS LÄN</t>
        </is>
      </c>
      <c r="E397" t="inlineStr">
        <is>
          <t>VÅRGÅRDA</t>
        </is>
      </c>
      <c r="G397" t="n">
        <v>0.8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2026-04-28T10:51:08Z</dcterms:created>
  <dcterms:modified xmlns:dcterms="http://purl.org/dc/terms/" xmlns:xsi="http://www.w3.org/2001/XMLSchema-instance" xsi:type="dcterms:W3CDTF">2026-04-28T10:51:08Z</dcterms:modified>
</cp:coreProperties>
</file>