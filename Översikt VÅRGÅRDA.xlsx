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46320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46320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46320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46320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46320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46320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16590-2025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46320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16590-2025 artfynd.xlsx", "A 16590-2025")</f>
        <v/>
      </c>
      <c r="X8">
        <f>HYPERLINK("https://klasma.github.io/Logging_1442/kartor/A 16590-2025 karta.png", "A 16590-2025")</f>
        <v/>
      </c>
      <c r="Y8">
        <f>HYPERLINK("https://klasma.github.io/Logging_1442/kartor_geotiff/A 16590-2025 georefererad karta.tif", "A 16590-2025")</f>
        <v/>
      </c>
      <c r="AA8">
        <f>HYPERLINK("https://klasma.github.io/Logging_1442/klagomål/A 16590-2025 FSC-klagomål.docx", "A 16590-2025")</f>
        <v/>
      </c>
      <c r="AB8">
        <f>HYPERLINK("https://klasma.github.io/Logging_1442/klagomålsmail/A 16590-2025 FSC-klagomål mail.docx", "A 16590-2025")</f>
        <v/>
      </c>
      <c r="AC8">
        <f>HYPERLINK("https://klasma.github.io/Logging_1442/tillsyn/A 16590-2025 tillsynsbegäran.docx", "A 16590-2025")</f>
        <v/>
      </c>
      <c r="AD8">
        <f>HYPERLINK("https://klasma.github.io/Logging_1442/tillsynsmail/A 16590-2025 tillsynsbegäran mail.docx", "A 16590-2025")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46320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46320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39063-2026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46287</v>
      </c>
      <c r="E11" s="1" t="n">
        <v>46320</v>
      </c>
      <c r="F11" t="inlineStr">
        <is>
          <t>VÄSTRA GÖTALANDS LÄN</t>
        </is>
      </c>
      <c r="G11" t="inlineStr">
        <is>
          <t>VÅRGÅRDA</t>
        </is>
      </c>
      <c r="I11" t="n">
        <v>2.6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Duvhök</t>
        </is>
      </c>
      <c r="W11">
        <f>HYPERLINK("https://klasma.github.io/Logging_1442/artfynd/A 39063-2026 artfynd.xlsx", "A 39063-2026")</f>
        <v/>
      </c>
      <c r="X11">
        <f>HYPERLINK("https://klasma.github.io/Logging_1442/kartor/A 39063-2026 karta.png", "A 39063-2026")</f>
        <v/>
      </c>
      <c r="Y11">
        <f>HYPERLINK("https://klasma.github.io/Logging_1442/kartor_geotiff/A 39063-2026 georefererad karta.tif", "A 39063-2026")</f>
        <v/>
      </c>
      <c r="AA11">
        <f>HYPERLINK("https://klasma.github.io/Logging_1442/klagomål/A 39063-2026 FSC-klagomål.docx", "A 39063-2026")</f>
        <v/>
      </c>
      <c r="AB11">
        <f>HYPERLINK("https://klasma.github.io/Logging_1442/klagomålsmail/A 39063-2026 FSC-klagomål mail.docx", "A 39063-2026")</f>
        <v/>
      </c>
      <c r="AC11">
        <f>HYPERLINK("https://klasma.github.io/Logging_1442/tillsyn/A 39063-2026 tillsynsbegäran.docx", "A 39063-2026")</f>
        <v/>
      </c>
      <c r="AD11">
        <f>HYPERLINK("https://klasma.github.io/Logging_1442/tillsynsmail/A 39063-2026 tillsynsbegäran mail.docx", "A 39063-2026")</f>
        <v/>
      </c>
      <c r="AE11">
        <f>HYPERLINK("https://klasma.github.io/Logging_1442/fåglar/A 39063-2026 prioriterade fågelarter.docx", "A 39063-2026")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46320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46320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13991-2023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46320</v>
      </c>
      <c r="F14" t="inlineStr">
        <is>
          <t>VÄSTRA GÖTALANDS LÄN</t>
        </is>
      </c>
      <c r="G14" t="inlineStr">
        <is>
          <t>VÅRGÅRDA</t>
        </is>
      </c>
      <c r="I14" t="n">
        <v>0.2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HYPERLINK("https://klasma.github.io/Logging_1442/artfynd/A 13991-2023 artfynd.xlsx", "A 13991-2023")</f>
        <v/>
      </c>
      <c r="X14">
        <f>HYPERLINK("https://klasma.github.io/Logging_1442/kartor/A 13991-2023 karta.png", "A 13991-2023")</f>
        <v/>
      </c>
      <c r="Y14">
        <f>HYPERLINK("https://klasma.github.io/Logging_1442/kartor_geotiff/A 13991-2023 georefererad karta.tif", "A 13991-2023")</f>
        <v/>
      </c>
      <c r="AA14">
        <f>HYPERLINK("https://klasma.github.io/Logging_1442/klagomål/A 13991-2023 FSC-klagomål.docx", "A 13991-2023")</f>
        <v/>
      </c>
      <c r="AB14">
        <f>HYPERLINK("https://klasma.github.io/Logging_1442/klagomålsmail/A 13991-2023 FSC-klagomål mail.docx", "A 13991-2023")</f>
        <v/>
      </c>
      <c r="AC14">
        <f>HYPERLINK("https://klasma.github.io/Logging_1442/tillsyn/A 13991-2023 tillsynsbegäran.docx", "A 13991-2023")</f>
        <v/>
      </c>
      <c r="AD14">
        <f>HYPERLINK("https://klasma.github.io/Logging_1442/tillsynsmail/A 13991-2023 tillsynsbegäran mail.docx", "A 13991-2023")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46320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46320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47506-2023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46320</v>
      </c>
      <c r="F17" t="inlineStr">
        <is>
          <t>VÄSTRA GÖTALANDS LÄN</t>
        </is>
      </c>
      <c r="G17" t="inlineStr">
        <is>
          <t>VÅRGÅRDA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HYPERLINK("https://klasma.github.io/Logging_1442/artfynd/A 47506-2023 artfynd.xlsx", "A 47506-2023")</f>
        <v/>
      </c>
      <c r="X17">
        <f>HYPERLINK("https://klasma.github.io/Logging_1442/kartor/A 47506-2023 karta.png", "A 47506-2023")</f>
        <v/>
      </c>
      <c r="Y17">
        <f>HYPERLINK("https://klasma.github.io/Logging_1442/kartor_geotiff/A 47506-2023 georefererad karta.tif", "A 47506-2023")</f>
        <v/>
      </c>
      <c r="AA17">
        <f>HYPERLINK("https://klasma.github.io/Logging_1442/klagomål/A 47506-2023 FSC-klagomål.docx", "A 47506-2023")</f>
        <v/>
      </c>
      <c r="AB17">
        <f>HYPERLINK("https://klasma.github.io/Logging_1442/klagomålsmail/A 47506-2023 FSC-klagomål mail.docx", "A 47506-2023")</f>
        <v/>
      </c>
      <c r="AC17">
        <f>HYPERLINK("https://klasma.github.io/Logging_1442/tillsyn/A 47506-2023 tillsynsbegäran.docx", "A 47506-2023")</f>
        <v/>
      </c>
      <c r="AD17">
        <f>HYPERLINK("https://klasma.github.io/Logging_1442/tillsynsmail/A 47506-2023 tillsynsbegäran mail.docx", "A 47506-2023")</f>
        <v/>
      </c>
    </row>
    <row r="18" ht="15" customHeight="1">
      <c r="A18" t="inlineStr">
        <is>
          <t>A 16587-2025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46320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16587-2025 artfynd.xlsx", "A 16587-2025")</f>
        <v/>
      </c>
      <c r="X18">
        <f>HYPERLINK("https://klasma.github.io/Logging_1442/kartor/A 16587-2025 karta.png", "A 16587-2025")</f>
        <v/>
      </c>
      <c r="Y18">
        <f>HYPERLINK("https://klasma.github.io/Logging_1442/kartor_geotiff/A 16587-2025 georefererad karta.tif", "A 16587-2025")</f>
        <v/>
      </c>
      <c r="AA18">
        <f>HYPERLINK("https://klasma.github.io/Logging_1442/klagomål/A 16587-2025 FSC-klagomål.docx", "A 16587-2025")</f>
        <v/>
      </c>
      <c r="AB18">
        <f>HYPERLINK("https://klasma.github.io/Logging_1442/klagomålsmail/A 16587-2025 FSC-klagomål mail.docx", "A 16587-2025")</f>
        <v/>
      </c>
      <c r="AC18">
        <f>HYPERLINK("https://klasma.github.io/Logging_1442/tillsyn/A 16587-2025 tillsynsbegäran.docx", "A 16587-2025")</f>
        <v/>
      </c>
      <c r="AD18">
        <f>HYPERLINK("https://klasma.github.io/Logging_1442/tillsynsmail/A 16587-2025 tillsynsbegäran mail.docx", "A 16587-2025")</f>
        <v/>
      </c>
    </row>
    <row r="19" ht="15" customHeight="1">
      <c r="A19" t="inlineStr">
        <is>
          <t>A 16912-2025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46320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16912-2025 artfynd.xlsx", "A 16912-2025")</f>
        <v/>
      </c>
      <c r="X19">
        <f>HYPERLINK("https://klasma.github.io/Logging_1442/kartor/A 16912-2025 karta.png", "A 16912-2025")</f>
        <v/>
      </c>
      <c r="Y19">
        <f>HYPERLINK("https://klasma.github.io/Logging_1442/kartor_geotiff/A 16912-2025 georefererad karta.tif", "A 16912-2025")</f>
        <v/>
      </c>
      <c r="AA19">
        <f>HYPERLINK("https://klasma.github.io/Logging_1442/klagomål/A 16912-2025 FSC-klagomål.docx", "A 16912-2025")</f>
        <v/>
      </c>
      <c r="AB19">
        <f>HYPERLINK("https://klasma.github.io/Logging_1442/klagomålsmail/A 16912-2025 FSC-klagomål mail.docx", "A 16912-2025")</f>
        <v/>
      </c>
      <c r="AC19">
        <f>HYPERLINK("https://klasma.github.io/Logging_1442/tillsyn/A 16912-2025 tillsynsbegäran.docx", "A 16912-2025")</f>
        <v/>
      </c>
      <c r="AD19">
        <f>HYPERLINK("https://klasma.github.io/Logging_1442/tillsynsmail/A 16912-2025 tillsynsbegäran mail.docx", "A 16912-2025")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46320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46320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46320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46320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46320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46320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44568</v>
      </c>
      <c r="E26" s="1" t="n">
        <v>46320</v>
      </c>
      <c r="F26" t="inlineStr">
        <is>
          <t>VÄSTRA GÖTALANDS LÄN</t>
        </is>
      </c>
      <c r="G26" t="inlineStr">
        <is>
          <t>VÅRGÅRDA</t>
        </is>
      </c>
      <c r="I26" t="n">
        <v>8.5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46320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46320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46320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46320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46320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46320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46320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46320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46320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46320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46320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46320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46320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46320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46320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46320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46320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46320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46320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45776</v>
      </c>
      <c r="E47" s="1" t="n">
        <v>46320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46320</v>
      </c>
      <c r="F48" t="inlineStr">
        <is>
          <t>VÄSTRA GÖTALANDS LÄN</t>
        </is>
      </c>
      <c r="G48" t="inlineStr">
        <is>
          <t>VÅRGÅRDA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46320</v>
      </c>
      <c r="F49" t="inlineStr">
        <is>
          <t>VÄSTRA GÖTALANDS LÄN</t>
        </is>
      </c>
      <c r="G49" t="inlineStr">
        <is>
          <t>VÅRGÅRDA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20806-2023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45058</v>
      </c>
      <c r="E50" s="1" t="n">
        <v>46320</v>
      </c>
      <c r="F50" t="inlineStr">
        <is>
          <t>VÄSTRA GÖTALANDS LÄN</t>
        </is>
      </c>
      <c r="G50" t="inlineStr">
        <is>
          <t>VÅRGÅRDA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45891</v>
      </c>
      <c r="E51" s="1" t="n">
        <v>46320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46320</v>
      </c>
      <c r="F52" t="inlineStr">
        <is>
          <t>VÄSTRA GÖTALANDS LÄN</t>
        </is>
      </c>
      <c r="G52" t="inlineStr">
        <is>
          <t>VÅRGÅRDA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46320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46320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45105</v>
      </c>
      <c r="E55" s="1" t="n">
        <v>46320</v>
      </c>
      <c r="F55" t="inlineStr">
        <is>
          <t>VÄSTRA GÖTALANDS LÄN</t>
        </is>
      </c>
      <c r="G55" t="inlineStr">
        <is>
          <t>VÅRGÅRDA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46320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45375</v>
      </c>
      <c r="E57" s="1" t="n">
        <v>46320</v>
      </c>
      <c r="F57" t="inlineStr">
        <is>
          <t>VÄSTRA GÖTALANDS LÄN</t>
        </is>
      </c>
      <c r="G57" t="inlineStr">
        <is>
          <t>VÅRGÅRDA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46320</v>
      </c>
      <c r="F58" t="inlineStr">
        <is>
          <t>VÄSTRA GÖTALANDS LÄN</t>
        </is>
      </c>
      <c r="G58" t="inlineStr">
        <is>
          <t>VÅRGÅRDA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45852</v>
      </c>
      <c r="E59" s="1" t="n">
        <v>46320</v>
      </c>
      <c r="F59" t="inlineStr">
        <is>
          <t>VÄSTRA GÖTALANDS LÄN</t>
        </is>
      </c>
      <c r="G59" t="inlineStr">
        <is>
          <t>VÅRGÅRDA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46320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46320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46320</v>
      </c>
      <c r="F62" t="inlineStr">
        <is>
          <t>VÄSTRA GÖTALANDS LÄN</t>
        </is>
      </c>
      <c r="G62" t="inlineStr">
        <is>
          <t>VÅRGÅRDA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46320</v>
      </c>
      <c r="F63" t="inlineStr">
        <is>
          <t>VÄSTRA GÖTALANDS LÄN</t>
        </is>
      </c>
      <c r="G63" t="inlineStr">
        <is>
          <t>VÅRGÅRDA</t>
        </is>
      </c>
      <c r="H63" t="inlineStr">
        <is>
          <t>Allmännings- och besparingsskogar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46320</v>
      </c>
      <c r="F64" t="inlineStr">
        <is>
          <t>VÄSTRA GÖTALANDS LÄN</t>
        </is>
      </c>
      <c r="G64" t="inlineStr">
        <is>
          <t>VÅRGÅRDA</t>
        </is>
      </c>
      <c r="H64" t="inlineStr">
        <is>
          <t>Allmännings- och besparingsskogar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44922</v>
      </c>
      <c r="E65" s="1" t="n">
        <v>46320</v>
      </c>
      <c r="F65" t="inlineStr">
        <is>
          <t>VÄSTRA GÖTALANDS LÄN</t>
        </is>
      </c>
      <c r="G65" t="inlineStr">
        <is>
          <t>VÅRGÅRDA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45293-2025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45920</v>
      </c>
      <c r="E66" s="1" t="n">
        <v>46320</v>
      </c>
      <c r="F66" t="inlineStr">
        <is>
          <t>VÄSTRA GÖTALANDS LÄN</t>
        </is>
      </c>
      <c r="G66" t="inlineStr">
        <is>
          <t>VÅRGÅRDA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45920</v>
      </c>
      <c r="E67" s="1" t="n">
        <v>46320</v>
      </c>
      <c r="F67" t="inlineStr">
        <is>
          <t>VÄSTRA GÖTALANDS LÄN</t>
        </is>
      </c>
      <c r="G67" t="inlineStr">
        <is>
          <t>VÅRGÅRDA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46320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46320</v>
      </c>
      <c r="F69" t="inlineStr">
        <is>
          <t>VÄSTRA GÖTALANDS LÄN</t>
        </is>
      </c>
      <c r="G69" t="inlineStr">
        <is>
          <t>VÅRGÅRDA</t>
        </is>
      </c>
      <c r="H69" t="inlineStr">
        <is>
          <t>Allmännings- och besparingsskogar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46320</v>
      </c>
      <c r="F70" t="inlineStr">
        <is>
          <t>VÄSTRA GÖTALANDS LÄN</t>
        </is>
      </c>
      <c r="G70" t="inlineStr">
        <is>
          <t>VÅRGÅRDA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46320</v>
      </c>
      <c r="F71" t="inlineStr">
        <is>
          <t>VÄSTRA GÖTALANDS LÄN</t>
        </is>
      </c>
      <c r="G71" t="inlineStr">
        <is>
          <t>VÅRGÅRDA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46320</v>
      </c>
      <c r="F72" t="inlineStr">
        <is>
          <t>VÄSTRA GÖTALANDS LÄN</t>
        </is>
      </c>
      <c r="G72" t="inlineStr">
        <is>
          <t>VÅRGÅRDA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45927</v>
      </c>
      <c r="E73" s="1" t="n">
        <v>46320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45429</v>
      </c>
      <c r="E74" s="1" t="n">
        <v>46320</v>
      </c>
      <c r="F74" t="inlineStr">
        <is>
          <t>VÄSTRA GÖTALANDS LÄN</t>
        </is>
      </c>
      <c r="G74" t="inlineStr">
        <is>
          <t>VÅRGÅRDA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45429</v>
      </c>
      <c r="E75" s="1" t="n">
        <v>46320</v>
      </c>
      <c r="F75" t="inlineStr">
        <is>
          <t>VÄSTRA GÖTALANDS LÄN</t>
        </is>
      </c>
      <c r="G75" t="inlineStr">
        <is>
          <t>VÅRGÅRDA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45247</v>
      </c>
      <c r="E76" s="1" t="n">
        <v>46320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46320</v>
      </c>
      <c r="F77" t="inlineStr">
        <is>
          <t>VÄSTRA GÖTALANDS LÄN</t>
        </is>
      </c>
      <c r="G77" t="inlineStr">
        <is>
          <t>VÅRGÅRDA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46320</v>
      </c>
      <c r="F78" t="inlineStr">
        <is>
          <t>VÄSTRA GÖTALANDS LÄN</t>
        </is>
      </c>
      <c r="G78" t="inlineStr">
        <is>
          <t>VÅRGÅRDA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46320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45932</v>
      </c>
      <c r="E80" s="1" t="n">
        <v>46320</v>
      </c>
      <c r="F80" t="inlineStr">
        <is>
          <t>VÄSTRA GÖTALANDS LÄN</t>
        </is>
      </c>
      <c r="G80" t="inlineStr">
        <is>
          <t>VÅRGÅRDA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46320</v>
      </c>
      <c r="F81" t="inlineStr">
        <is>
          <t>VÄSTRA GÖTALANDS LÄN</t>
        </is>
      </c>
      <c r="G81" t="inlineStr">
        <is>
          <t>VÅRGÅRDA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45620</v>
      </c>
      <c r="E82" s="1" t="n">
        <v>46320</v>
      </c>
      <c r="F82" t="inlineStr">
        <is>
          <t>VÄSTRA GÖTALANDS LÄN</t>
        </is>
      </c>
      <c r="G82" t="inlineStr">
        <is>
          <t>VÅRGÅRDA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46320</v>
      </c>
      <c r="F83" t="inlineStr">
        <is>
          <t>VÄSTRA GÖTALANDS LÄN</t>
        </is>
      </c>
      <c r="G83" t="inlineStr">
        <is>
          <t>VÅRGÅRDA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46320</v>
      </c>
      <c r="F84" t="inlineStr">
        <is>
          <t>VÄSTRA GÖTALANDS LÄN</t>
        </is>
      </c>
      <c r="G84" t="inlineStr">
        <is>
          <t>VÅRGÅRDA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46320</v>
      </c>
      <c r="F85" t="inlineStr">
        <is>
          <t>VÄSTRA GÖTALANDS LÄN</t>
        </is>
      </c>
      <c r="G85" t="inlineStr">
        <is>
          <t>VÅRGÅRDA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46320</v>
      </c>
      <c r="F86" t="inlineStr">
        <is>
          <t>VÄSTRA GÖTALANDS LÄN</t>
        </is>
      </c>
      <c r="G86" t="inlineStr">
        <is>
          <t>VÅRGÅRDA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20169-2025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45772</v>
      </c>
      <c r="E87" s="1" t="n">
        <v>46320</v>
      </c>
      <c r="F87" t="inlineStr">
        <is>
          <t>VÄSTRA GÖTALANDS LÄN</t>
        </is>
      </c>
      <c r="G87" t="inlineStr">
        <is>
          <t>VÅRGÅRDA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46320</v>
      </c>
      <c r="F88" t="inlineStr">
        <is>
          <t>VÄSTRA GÖTALANDS LÄN</t>
        </is>
      </c>
      <c r="G88" t="inlineStr">
        <is>
          <t>VÅRGÅRDA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46320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46320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46320</v>
      </c>
      <c r="F91" t="inlineStr">
        <is>
          <t>VÄSTRA GÖTALANDS LÄN</t>
        </is>
      </c>
      <c r="G91" t="inlineStr">
        <is>
          <t>VÅRGÅRDA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46320</v>
      </c>
      <c r="F92" t="inlineStr">
        <is>
          <t>VÄSTRA GÖTALANDS LÄN</t>
        </is>
      </c>
      <c r="G92" t="inlineStr">
        <is>
          <t>VÅRGÅRDA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46320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46320</v>
      </c>
      <c r="F94" t="inlineStr">
        <is>
          <t>VÄSTRA GÖTALANDS LÄN</t>
        </is>
      </c>
      <c r="G94" t="inlineStr">
        <is>
          <t>VÅRGÅRDA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46320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62535-2023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45268</v>
      </c>
      <c r="E96" s="1" t="n">
        <v>46320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45084</v>
      </c>
      <c r="E97" s="1" t="n">
        <v>46320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44968</v>
      </c>
      <c r="E98" s="1" t="n">
        <v>46320</v>
      </c>
      <c r="F98" t="inlineStr">
        <is>
          <t>VÄSTRA GÖTALANDS LÄN</t>
        </is>
      </c>
      <c r="G98" t="inlineStr">
        <is>
          <t>VÅRGÅRDA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63073-2023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46320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46320</v>
      </c>
      <c r="F100" t="inlineStr">
        <is>
          <t>VÄSTRA GÖTALANDS LÄN</t>
        </is>
      </c>
      <c r="G100" t="inlineStr">
        <is>
          <t>VÅRGÅRDA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45968</v>
      </c>
      <c r="E101" s="1" t="n">
        <v>46320</v>
      </c>
      <c r="F101" t="inlineStr">
        <is>
          <t>VÄSTRA GÖTALANDS LÄN</t>
        </is>
      </c>
      <c r="G101" t="inlineStr">
        <is>
          <t>VÅRGÅRDA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46320</v>
      </c>
      <c r="F102" t="inlineStr">
        <is>
          <t>VÄSTRA GÖTALANDS LÄN</t>
        </is>
      </c>
      <c r="G102" t="inlineStr">
        <is>
          <t>VÅRGÅRDA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46320</v>
      </c>
      <c r="F103" t="inlineStr">
        <is>
          <t>VÄSTRA GÖTALANDS LÄN</t>
        </is>
      </c>
      <c r="G103" t="inlineStr">
        <is>
          <t>VÅRGÅRDA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46320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46320</v>
      </c>
      <c r="F105" t="inlineStr">
        <is>
          <t>VÄSTRA GÖTALANDS LÄN</t>
        </is>
      </c>
      <c r="G105" t="inlineStr">
        <is>
          <t>VÅRGÅRDA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46320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46320</v>
      </c>
      <c r="F107" t="inlineStr">
        <is>
          <t>VÄSTRA GÖTALANDS LÄN</t>
        </is>
      </c>
      <c r="G107" t="inlineStr">
        <is>
          <t>VÅRGÅRDA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29612-2026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46199</v>
      </c>
      <c r="E108" s="1" t="n">
        <v>46320</v>
      </c>
      <c r="F108" t="inlineStr">
        <is>
          <t>VÄSTRA GÖTALANDS LÄN</t>
        </is>
      </c>
      <c r="G108" t="inlineStr">
        <is>
          <t>VÅRGÅRDA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46320</v>
      </c>
      <c r="F109" t="inlineStr">
        <is>
          <t>VÄSTRA GÖTALANDS LÄN</t>
        </is>
      </c>
      <c r="G109" t="inlineStr">
        <is>
          <t>VÅRGÅRDA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65946-2021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46320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46320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46320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46320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46205</v>
      </c>
      <c r="E114" s="1" t="n">
        <v>46320</v>
      </c>
      <c r="F114" t="inlineStr">
        <is>
          <t>VÄSTRA GÖTALANDS LÄN</t>
        </is>
      </c>
      <c r="G114" t="inlineStr">
        <is>
          <t>VÅRGÅRDA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46320</v>
      </c>
      <c r="F115" t="inlineStr">
        <is>
          <t>VÄSTRA GÖTALANDS LÄN</t>
        </is>
      </c>
      <c r="G115" t="inlineStr">
        <is>
          <t>VÅRGÅRDA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46320</v>
      </c>
      <c r="F116" t="inlineStr">
        <is>
          <t>VÄSTRA GÖTALANDS LÄN</t>
        </is>
      </c>
      <c r="G116" t="inlineStr">
        <is>
          <t>VÅRGÅRDA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46320</v>
      </c>
      <c r="F117" t="inlineStr">
        <is>
          <t>VÄSTRA GÖTALANDS LÄN</t>
        </is>
      </c>
      <c r="G117" t="inlineStr">
        <is>
          <t>VÅRGÅRDA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46320</v>
      </c>
      <c r="F118" t="inlineStr">
        <is>
          <t>VÄSTRA GÖTALANDS LÄN</t>
        </is>
      </c>
      <c r="G118" t="inlineStr">
        <is>
          <t>VÅRGÅRDA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46320</v>
      </c>
      <c r="F119" t="inlineStr">
        <is>
          <t>VÄSTRA GÖTALANDS LÄN</t>
        </is>
      </c>
      <c r="G119" t="inlineStr">
        <is>
          <t>VÅRGÅRDA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45988</v>
      </c>
      <c r="E120" s="1" t="n">
        <v>46320</v>
      </c>
      <c r="F120" t="inlineStr">
        <is>
          <t>VÄSTRA GÖTALANDS LÄN</t>
        </is>
      </c>
      <c r="G120" t="inlineStr">
        <is>
          <t>VÅRGÅRDA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45988</v>
      </c>
      <c r="E121" s="1" t="n">
        <v>46320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45906</v>
      </c>
      <c r="E122" s="1" t="n">
        <v>46320</v>
      </c>
      <c r="F122" t="inlineStr">
        <is>
          <t>VÄSTRA GÖTALANDS LÄN</t>
        </is>
      </c>
      <c r="G122" t="inlineStr">
        <is>
          <t>VÅRGÅRDA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46320</v>
      </c>
      <c r="F123" t="inlineStr">
        <is>
          <t>VÄSTRA GÖTALANDS LÄN</t>
        </is>
      </c>
      <c r="G123" t="inlineStr">
        <is>
          <t>VÅRGÅRDA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46320</v>
      </c>
      <c r="F124" t="inlineStr">
        <is>
          <t>VÄSTRA GÖTALANDS LÄN</t>
        </is>
      </c>
      <c r="G124" t="inlineStr">
        <is>
          <t>VÅRGÅRDA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46320</v>
      </c>
      <c r="F125" t="inlineStr">
        <is>
          <t>VÄSTRA GÖTALANDS LÄN</t>
        </is>
      </c>
      <c r="G125" t="inlineStr">
        <is>
          <t>VÅRGÅRDA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46320</v>
      </c>
      <c r="F126" t="inlineStr">
        <is>
          <t>VÄSTRA GÖTALANDS LÄN</t>
        </is>
      </c>
      <c r="G126" t="inlineStr">
        <is>
          <t>VÅRGÅRDA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46211</v>
      </c>
      <c r="E127" s="1" t="n">
        <v>46320</v>
      </c>
      <c r="F127" t="inlineStr">
        <is>
          <t>VÄSTRA GÖTALANDS LÄN</t>
        </is>
      </c>
      <c r="G127" t="inlineStr">
        <is>
          <t>VÅRGÅRDA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46320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Övriga statliga verk och myndigheter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46320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46320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Övriga statliga verk och myndigheter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46320</v>
      </c>
      <c r="F131" t="inlineStr">
        <is>
          <t>VÄSTRA GÖTALANDS LÄN</t>
        </is>
      </c>
      <c r="G131" t="inlineStr">
        <is>
          <t>VÅRGÅRDA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46320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46320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46320</v>
      </c>
      <c r="F134" t="inlineStr">
        <is>
          <t>VÄSTRA GÖTALANDS LÄN</t>
        </is>
      </c>
      <c r="G134" t="inlineStr">
        <is>
          <t>VÅRGÅRDA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46124</v>
      </c>
      <c r="E135" s="1" t="n">
        <v>46320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46320</v>
      </c>
      <c r="F136" t="inlineStr">
        <is>
          <t>VÄSTRA GÖTALANDS LÄN</t>
        </is>
      </c>
      <c r="G136" t="inlineStr">
        <is>
          <t>VÅRGÅRDA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45782</v>
      </c>
      <c r="E137" s="1" t="n">
        <v>46320</v>
      </c>
      <c r="F137" t="inlineStr">
        <is>
          <t>VÄSTRA GÖTALANDS LÄN</t>
        </is>
      </c>
      <c r="G137" t="inlineStr">
        <is>
          <t>VÅRGÅRDA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46320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46320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45703</v>
      </c>
      <c r="E140" s="1" t="n">
        <v>46320</v>
      </c>
      <c r="F140" t="inlineStr">
        <is>
          <t>VÄSTRA GÖTALANDS LÄN</t>
        </is>
      </c>
      <c r="G140" t="inlineStr">
        <is>
          <t>VÅRGÅRDA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46320</v>
      </c>
      <c r="F141" t="inlineStr">
        <is>
          <t>VÄSTRA GÖTALANDS LÄN</t>
        </is>
      </c>
      <c r="G141" t="inlineStr">
        <is>
          <t>VÅRGÅRDA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46320</v>
      </c>
      <c r="F142" t="inlineStr">
        <is>
          <t>VÄSTRA GÖTALANDS LÄN</t>
        </is>
      </c>
      <c r="G142" t="inlineStr">
        <is>
          <t>VÅRGÅRDA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46281</v>
      </c>
      <c r="E143" s="1" t="n">
        <v>46320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46032</v>
      </c>
      <c r="E144" s="1" t="n">
        <v>46320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46320</v>
      </c>
      <c r="F145" t="inlineStr">
        <is>
          <t>VÄSTRA GÖTALANDS LÄN</t>
        </is>
      </c>
      <c r="G145" t="inlineStr">
        <is>
          <t>VÅRGÅRDA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46032</v>
      </c>
      <c r="E146" s="1" t="n">
        <v>46320</v>
      </c>
      <c r="F146" t="inlineStr">
        <is>
          <t>VÄSTRA GÖTALANDS LÄN</t>
        </is>
      </c>
      <c r="G146" t="inlineStr">
        <is>
          <t>VÅRGÅRDA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46320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46320</v>
      </c>
      <c r="F148" t="inlineStr">
        <is>
          <t>VÄSTRA GÖTALANDS LÄN</t>
        </is>
      </c>
      <c r="G148" t="inlineStr">
        <is>
          <t>VÅRGÅRDA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46320</v>
      </c>
      <c r="F149" t="inlineStr">
        <is>
          <t>VÄSTRA GÖTALANDS LÄN</t>
        </is>
      </c>
      <c r="G149" t="inlineStr">
        <is>
          <t>VÅRGÅRDA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46320</v>
      </c>
      <c r="F150" t="inlineStr">
        <is>
          <t>VÄSTRA GÖTALANDS LÄN</t>
        </is>
      </c>
      <c r="G150" t="inlineStr">
        <is>
          <t>VÅRGÅRDA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46320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46320</v>
      </c>
      <c r="F152" t="inlineStr">
        <is>
          <t>VÄSTRA GÖTALANDS LÄN</t>
        </is>
      </c>
      <c r="G152" t="inlineStr">
        <is>
          <t>VÅRGÅRDA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46320</v>
      </c>
      <c r="F153" t="inlineStr">
        <is>
          <t>VÄSTRA GÖTALANDS LÄN</t>
        </is>
      </c>
      <c r="G153" t="inlineStr">
        <is>
          <t>VÅRGÅRDA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46320</v>
      </c>
      <c r="F154" t="inlineStr">
        <is>
          <t>VÄSTRA GÖTALANDS LÄN</t>
        </is>
      </c>
      <c r="G154" t="inlineStr">
        <is>
          <t>VÅRGÅRDA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46320</v>
      </c>
      <c r="F155" t="inlineStr">
        <is>
          <t>VÄSTRA GÖTALANDS LÄN</t>
        </is>
      </c>
      <c r="G155" t="inlineStr">
        <is>
          <t>VÅRGÅRDA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46320</v>
      </c>
      <c r="F156" t="inlineStr">
        <is>
          <t>VÄSTRA GÖTALANDS LÄN</t>
        </is>
      </c>
      <c r="G156" t="inlineStr">
        <is>
          <t>VÅRGÅRDA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46320</v>
      </c>
      <c r="F157" t="inlineStr">
        <is>
          <t>VÄSTRA GÖTALANDS LÄN</t>
        </is>
      </c>
      <c r="G157" t="inlineStr">
        <is>
          <t>VÅRGÅRDA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46320</v>
      </c>
      <c r="F158" t="inlineStr">
        <is>
          <t>VÄSTRA GÖTALANDS LÄN</t>
        </is>
      </c>
      <c r="G158" t="inlineStr">
        <is>
          <t>VÅRGÅRDA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46287</v>
      </c>
      <c r="E159" s="1" t="n">
        <v>46320</v>
      </c>
      <c r="F159" t="inlineStr">
        <is>
          <t>VÄSTRA GÖTALANDS LÄN</t>
        </is>
      </c>
      <c r="G159" t="inlineStr">
        <is>
          <t>VÅRGÅRDA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46320</v>
      </c>
      <c r="F160" t="inlineStr">
        <is>
          <t>VÄSTRA GÖTALANDS LÄN</t>
        </is>
      </c>
      <c r="G160" t="inlineStr">
        <is>
          <t>VÅRGÅRDA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46320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Kyrkan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46043</v>
      </c>
      <c r="E162" s="1" t="n">
        <v>46320</v>
      </c>
      <c r="F162" t="inlineStr">
        <is>
          <t>VÄSTRA GÖTALANDS LÄN</t>
        </is>
      </c>
      <c r="G162" t="inlineStr">
        <is>
          <t>VÅRGÅRDA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46320</v>
      </c>
      <c r="F163" t="inlineStr">
        <is>
          <t>VÄSTRA GÖTALANDS LÄN</t>
        </is>
      </c>
      <c r="G163" t="inlineStr">
        <is>
          <t>VÅRGÅRDA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25326-2025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45800</v>
      </c>
      <c r="E164" s="1" t="n">
        <v>46320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46320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45804</v>
      </c>
      <c r="E166" s="1" t="n">
        <v>46320</v>
      </c>
      <c r="F166" t="inlineStr">
        <is>
          <t>VÄSTRA GÖTALANDS LÄN</t>
        </is>
      </c>
      <c r="G166" t="inlineStr">
        <is>
          <t>VÅRGÅRDA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46320</v>
      </c>
      <c r="F167" t="inlineStr">
        <is>
          <t>VÄSTRA GÖTALANDS LÄN</t>
        </is>
      </c>
      <c r="G167" t="inlineStr">
        <is>
          <t>VÅRGÅRDA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46320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46320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46320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46320</v>
      </c>
      <c r="F171" t="inlineStr">
        <is>
          <t>VÄSTRA GÖTALANDS LÄN</t>
        </is>
      </c>
      <c r="G171" t="inlineStr">
        <is>
          <t>VÅRGÅRDA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46320</v>
      </c>
      <c r="F172" t="inlineStr">
        <is>
          <t>VÄSTRA GÖTALANDS LÄN</t>
        </is>
      </c>
      <c r="G172" t="inlineStr">
        <is>
          <t>VÅRGÅRDA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46320</v>
      </c>
      <c r="F173" t="inlineStr">
        <is>
          <t>VÄSTRA GÖTALANDS LÄN</t>
        </is>
      </c>
      <c r="G173" t="inlineStr">
        <is>
          <t>VÅRGÅRDA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46290</v>
      </c>
      <c r="E174" s="1" t="n">
        <v>46320</v>
      </c>
      <c r="F174" t="inlineStr">
        <is>
          <t>VÄSTRA GÖTALANDS LÄN</t>
        </is>
      </c>
      <c r="G174" t="inlineStr">
        <is>
          <t>VÅRGÅRDA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46320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59325-2023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45253</v>
      </c>
      <c r="E176" s="1" t="n">
        <v>46320</v>
      </c>
      <c r="F176" t="inlineStr">
        <is>
          <t>VÄSTRA GÖTALANDS LÄN</t>
        </is>
      </c>
      <c r="G176" t="inlineStr">
        <is>
          <t>VÅRGÅRDA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46290</v>
      </c>
      <c r="E177" s="1" t="n">
        <v>46320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46320</v>
      </c>
      <c r="F178" t="inlineStr">
        <is>
          <t>VÄSTRA GÖTALANDS LÄN</t>
        </is>
      </c>
      <c r="G178" t="inlineStr">
        <is>
          <t>VÅRGÅRDA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46320</v>
      </c>
      <c r="F179" t="inlineStr">
        <is>
          <t>VÄSTRA GÖTALANDS LÄN</t>
        </is>
      </c>
      <c r="G179" t="inlineStr">
        <is>
          <t>VÅRGÅRDA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46320</v>
      </c>
      <c r="F180" t="inlineStr">
        <is>
          <t>VÄSTRA GÖTALANDS LÄN</t>
        </is>
      </c>
      <c r="G180" t="inlineStr">
        <is>
          <t>VÅRGÅRDA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46320</v>
      </c>
      <c r="F181" t="inlineStr">
        <is>
          <t>VÄSTRA GÖTALANDS LÄN</t>
        </is>
      </c>
      <c r="G181" t="inlineStr">
        <is>
          <t>VÅRGÅRDA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46320</v>
      </c>
      <c r="F182" t="inlineStr">
        <is>
          <t>VÄSTRA GÖTALANDS LÄN</t>
        </is>
      </c>
      <c r="G182" t="inlineStr">
        <is>
          <t>VÅRGÅRDA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7535-2026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46320</v>
      </c>
      <c r="F183" t="inlineStr">
        <is>
          <t>VÄSTRA GÖTALANDS LÄN</t>
        </is>
      </c>
      <c r="G183" t="inlineStr">
        <is>
          <t>VÅRGÅRDA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46320</v>
      </c>
      <c r="F184" t="inlineStr">
        <is>
          <t>VÄSTRA GÖTALANDS LÄN</t>
        </is>
      </c>
      <c r="G184" t="inlineStr">
        <is>
          <t>VÅRGÅRDA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46320</v>
      </c>
      <c r="F185" t="inlineStr">
        <is>
          <t>VÄSTRA GÖTALANDS LÄN</t>
        </is>
      </c>
      <c r="G185" t="inlineStr">
        <is>
          <t>VÅRGÅRDA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46320</v>
      </c>
      <c r="F186" t="inlineStr">
        <is>
          <t>VÄSTRA GÖTALANDS LÄN</t>
        </is>
      </c>
      <c r="G186" t="inlineStr">
        <is>
          <t>VÅRGÅRDA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46320</v>
      </c>
      <c r="F187" t="inlineStr">
        <is>
          <t>VÄSTRA GÖTALANDS LÄN</t>
        </is>
      </c>
      <c r="G187" t="inlineStr">
        <is>
          <t>VÅRGÅRDA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46320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46320</v>
      </c>
      <c r="F189" t="inlineStr">
        <is>
          <t>VÄSTRA GÖTALANDS LÄN</t>
        </is>
      </c>
      <c r="G189" t="inlineStr">
        <is>
          <t>VÅRGÅRDA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46320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46320</v>
      </c>
      <c r="F191" t="inlineStr">
        <is>
          <t>VÄSTRA GÖTALANDS LÄN</t>
        </is>
      </c>
      <c r="G191" t="inlineStr">
        <is>
          <t>VÅRGÅRDA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46320</v>
      </c>
      <c r="F192" t="inlineStr">
        <is>
          <t>VÄSTRA GÖTALANDS LÄN</t>
        </is>
      </c>
      <c r="G192" t="inlineStr">
        <is>
          <t>VÅRGÅRDA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9305-2026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46070</v>
      </c>
      <c r="E193" s="1" t="n">
        <v>46320</v>
      </c>
      <c r="F193" t="inlineStr">
        <is>
          <t>VÄSTRA GÖTALANDS LÄN</t>
        </is>
      </c>
      <c r="G193" t="inlineStr">
        <is>
          <t>VÅRGÅRDA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9261-2026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46070</v>
      </c>
      <c r="E194" s="1" t="n">
        <v>46320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45774</v>
      </c>
      <c r="E195" s="1" t="n">
        <v>46320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9301-2026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46070</v>
      </c>
      <c r="E196" s="1" t="n">
        <v>46320</v>
      </c>
      <c r="F196" t="inlineStr">
        <is>
          <t>VÄSTRA GÖTALANDS LÄN</t>
        </is>
      </c>
      <c r="G196" t="inlineStr">
        <is>
          <t>VÅRGÅRDA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46320</v>
      </c>
      <c r="F197" t="inlineStr">
        <is>
          <t>VÄSTRA GÖTALANDS LÄN</t>
        </is>
      </c>
      <c r="G197" t="inlineStr">
        <is>
          <t>VÅRGÅRDA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9297-2026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46320</v>
      </c>
      <c r="F198" t="inlineStr">
        <is>
          <t>VÄSTRA GÖTALANDS LÄN</t>
        </is>
      </c>
      <c r="G198" t="inlineStr">
        <is>
          <t>VÅRGÅRDA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46320</v>
      </c>
      <c r="F199" t="inlineStr">
        <is>
          <t>VÄSTRA GÖTALANDS LÄN</t>
        </is>
      </c>
      <c r="G199" t="inlineStr">
        <is>
          <t>VÅRGÅRDA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46248</v>
      </c>
      <c r="E200" s="1" t="n">
        <v>46320</v>
      </c>
      <c r="F200" t="inlineStr">
        <is>
          <t>VÄSTRA GÖTALANDS LÄN</t>
        </is>
      </c>
      <c r="G200" t="inlineStr">
        <is>
          <t>VÅRGÅRDA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46320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46320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46320</v>
      </c>
      <c r="F203" t="inlineStr">
        <is>
          <t>VÄSTRA GÖTALANDS LÄN</t>
        </is>
      </c>
      <c r="G203" t="inlineStr">
        <is>
          <t>VÅRGÅRDA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46320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46320</v>
      </c>
      <c r="F205" t="inlineStr">
        <is>
          <t>VÄSTRA GÖTALANDS LÄN</t>
        </is>
      </c>
      <c r="G205" t="inlineStr">
        <is>
          <t>VÅRGÅRDA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46320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46320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11.4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46320</v>
      </c>
      <c r="F208" t="inlineStr">
        <is>
          <t>VÄSTRA GÖTALANDS LÄN</t>
        </is>
      </c>
      <c r="G208" t="inlineStr">
        <is>
          <t>VÅRGÅRDA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46320</v>
      </c>
      <c r="F209" t="inlineStr">
        <is>
          <t>VÄSTRA GÖTALANDS LÄN</t>
        </is>
      </c>
      <c r="G209" t="inlineStr">
        <is>
          <t>VÅRGÅRDA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44920</v>
      </c>
      <c r="E210" s="1" t="n">
        <v>46320</v>
      </c>
      <c r="F210" t="inlineStr">
        <is>
          <t>VÄSTRA GÖTALANDS LÄN</t>
        </is>
      </c>
      <c r="G210" t="inlineStr">
        <is>
          <t>VÅRGÅRDA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46320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46320</v>
      </c>
      <c r="F212" t="inlineStr">
        <is>
          <t>VÄSTRA GÖTALANDS LÄN</t>
        </is>
      </c>
      <c r="G212" t="inlineStr">
        <is>
          <t>VÅRGÅRDA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46320</v>
      </c>
      <c r="F213" t="inlineStr">
        <is>
          <t>VÄSTRA GÖTALANDS LÄN</t>
        </is>
      </c>
      <c r="G213" t="inlineStr">
        <is>
          <t>VÅRGÅRDA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46320</v>
      </c>
      <c r="F214" t="inlineStr">
        <is>
          <t>VÄSTRA GÖTALANDS LÄN</t>
        </is>
      </c>
      <c r="G214" t="inlineStr">
        <is>
          <t>VÅRGÅRDA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46320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45573</v>
      </c>
      <c r="E216" s="1" t="n">
        <v>46320</v>
      </c>
      <c r="F216" t="inlineStr">
        <is>
          <t>VÄSTRA GÖTALANDS LÄN</t>
        </is>
      </c>
      <c r="G216" t="inlineStr">
        <is>
          <t>VÅRGÅRDA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46320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35075-2026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46259</v>
      </c>
      <c r="E218" s="1" t="n">
        <v>46320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45859</v>
      </c>
      <c r="E219" s="1" t="n">
        <v>46320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46320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46320</v>
      </c>
      <c r="F221" t="inlineStr">
        <is>
          <t>VÄSTRA GÖTALANDS LÄN</t>
        </is>
      </c>
      <c r="G221" t="inlineStr">
        <is>
          <t>VÅRGÅRDA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46320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46320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46320</v>
      </c>
      <c r="F224" t="inlineStr">
        <is>
          <t>VÄSTRA GÖTALANDS LÄN</t>
        </is>
      </c>
      <c r="G224" t="inlineStr">
        <is>
          <t>VÅRGÅRDA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45870</v>
      </c>
      <c r="E225" s="1" t="n">
        <v>46320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46124</v>
      </c>
      <c r="E226" s="1" t="n">
        <v>46320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46320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46320</v>
      </c>
      <c r="F228" t="inlineStr">
        <is>
          <t>VÄSTRA GÖTALANDS LÄN</t>
        </is>
      </c>
      <c r="G228" t="inlineStr">
        <is>
          <t>VÅRGÅRDA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46320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46320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46320</v>
      </c>
      <c r="F231" t="inlineStr">
        <is>
          <t>VÄSTRA GÖTALANDS LÄN</t>
        </is>
      </c>
      <c r="G231" t="inlineStr">
        <is>
          <t>VÅRGÅRDA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46320</v>
      </c>
      <c r="F232" t="inlineStr">
        <is>
          <t>VÄSTRA GÖTALANDS LÄN</t>
        </is>
      </c>
      <c r="G232" t="inlineStr">
        <is>
          <t>VÅRGÅRDA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46320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46320</v>
      </c>
      <c r="F234" t="inlineStr">
        <is>
          <t>VÄSTRA GÖTALANDS LÄN</t>
        </is>
      </c>
      <c r="G234" t="inlineStr">
        <is>
          <t>VÅRGÅRDA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46320</v>
      </c>
      <c r="F235" t="inlineStr">
        <is>
          <t>VÄSTRA GÖTALANDS LÄN</t>
        </is>
      </c>
      <c r="G235" t="inlineStr">
        <is>
          <t>VÅRGÅRDA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46320</v>
      </c>
      <c r="F236" t="inlineStr">
        <is>
          <t>VÄSTRA GÖTALANDS LÄN</t>
        </is>
      </c>
      <c r="G236" t="inlineStr">
        <is>
          <t>VÅRGÅRDA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46320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46307</v>
      </c>
      <c r="E238" s="1" t="n">
        <v>46320</v>
      </c>
      <c r="F238" t="inlineStr">
        <is>
          <t>VÄSTRA GÖTALANDS LÄN</t>
        </is>
      </c>
      <c r="G238" t="inlineStr">
        <is>
          <t>VÅRGÅRDA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46320</v>
      </c>
      <c r="F239" t="inlineStr">
        <is>
          <t>VÄSTRA GÖTALANDS LÄN</t>
        </is>
      </c>
      <c r="G239" t="inlineStr">
        <is>
          <t>VÅRGÅRDA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46320</v>
      </c>
      <c r="F240" t="inlineStr">
        <is>
          <t>VÄSTRA GÖTALANDS LÄN</t>
        </is>
      </c>
      <c r="G240" t="inlineStr">
        <is>
          <t>VÅRGÅRDA</t>
        </is>
      </c>
      <c r="I240" t="n">
        <v>14.2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46320</v>
      </c>
      <c r="F241" t="inlineStr">
        <is>
          <t>VÄSTRA GÖTALANDS LÄN</t>
        </is>
      </c>
      <c r="G241" t="inlineStr">
        <is>
          <t>VÅRGÅRDA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46320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46310</v>
      </c>
      <c r="E243" s="1" t="n">
        <v>46320</v>
      </c>
      <c r="F243" t="inlineStr">
        <is>
          <t>VÄSTRA GÖTALANDS LÄN</t>
        </is>
      </c>
      <c r="G243" t="inlineStr">
        <is>
          <t>VÅRGÅRDA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46310</v>
      </c>
      <c r="E244" s="1" t="n">
        <v>46320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46310</v>
      </c>
      <c r="E245" s="1" t="n">
        <v>46320</v>
      </c>
      <c r="F245" t="inlineStr">
        <is>
          <t>VÄSTRA GÖTALANDS LÄN</t>
        </is>
      </c>
      <c r="G245" t="inlineStr">
        <is>
          <t>VÅRGÅRDA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46320</v>
      </c>
      <c r="F246" t="inlineStr">
        <is>
          <t>VÄSTRA GÖTALANDS LÄN</t>
        </is>
      </c>
      <c r="G246" t="inlineStr">
        <is>
          <t>VÅRGÅRDA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46320</v>
      </c>
      <c r="F247" t="inlineStr">
        <is>
          <t>VÄSTRA GÖTALANDS LÄN</t>
        </is>
      </c>
      <c r="G247" t="inlineStr">
        <is>
          <t>VÅRGÅRDA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46320</v>
      </c>
      <c r="F248" t="inlineStr">
        <is>
          <t>VÄSTRA GÖTALANDS LÄN</t>
        </is>
      </c>
      <c r="G248" t="inlineStr">
        <is>
          <t>VÅRGÅRDA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45350</v>
      </c>
      <c r="E249" s="1" t="n">
        <v>46320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46320</v>
      </c>
      <c r="F250" t="inlineStr">
        <is>
          <t>VÄSTRA GÖTALANDS LÄN</t>
        </is>
      </c>
      <c r="G250" t="inlineStr">
        <is>
          <t>VÅRGÅRDA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36421-2026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46269</v>
      </c>
      <c r="E251" s="1" t="n">
        <v>46320</v>
      </c>
      <c r="F251" t="inlineStr">
        <is>
          <t>VÄSTRA GÖTALANDS LÄN</t>
        </is>
      </c>
      <c r="G251" t="inlineStr">
        <is>
          <t>VÅRGÅRDA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46320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46320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46320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46320</v>
      </c>
      <c r="F255" t="inlineStr">
        <is>
          <t>VÄSTRA GÖTALANDS LÄN</t>
        </is>
      </c>
      <c r="G255" t="inlineStr">
        <is>
          <t>VÅRGÅRDA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44568</v>
      </c>
      <c r="E256" s="1" t="n">
        <v>46320</v>
      </c>
      <c r="F256" t="inlineStr">
        <is>
          <t>VÄSTRA GÖTALANDS LÄN</t>
        </is>
      </c>
      <c r="G256" t="inlineStr">
        <is>
          <t>VÅRGÅRDA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46320</v>
      </c>
      <c r="F257" t="inlineStr">
        <is>
          <t>VÄSTRA GÖTALANDS LÄN</t>
        </is>
      </c>
      <c r="G257" t="inlineStr">
        <is>
          <t>VÅRGÅRDA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46320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46320</v>
      </c>
      <c r="F259" t="inlineStr">
        <is>
          <t>VÄSTRA GÖTALANDS LÄN</t>
        </is>
      </c>
      <c r="G259" t="inlineStr">
        <is>
          <t>VÅRGÅRDA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46320</v>
      </c>
      <c r="F260" t="inlineStr">
        <is>
          <t>VÄSTRA GÖTALANDS LÄN</t>
        </is>
      </c>
      <c r="G260" t="inlineStr">
        <is>
          <t>VÅRGÅRDA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46320</v>
      </c>
      <c r="F261" t="inlineStr">
        <is>
          <t>VÄSTRA GÖTALANDS LÄN</t>
        </is>
      </c>
      <c r="G261" t="inlineStr">
        <is>
          <t>VÅRGÅRDA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46320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46320</v>
      </c>
      <c r="F263" t="inlineStr">
        <is>
          <t>VÄSTRA GÖTALANDS LÄN</t>
        </is>
      </c>
      <c r="G263" t="inlineStr">
        <is>
          <t>VÅRGÅRDA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46320</v>
      </c>
      <c r="F264" t="inlineStr">
        <is>
          <t>VÄSTRA GÖTALANDS LÄN</t>
        </is>
      </c>
      <c r="G264" t="inlineStr">
        <is>
          <t>VÅRGÅRDA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46320</v>
      </c>
      <c r="F265" t="inlineStr">
        <is>
          <t>VÄSTRA GÖTALANDS LÄN</t>
        </is>
      </c>
      <c r="G265" t="inlineStr">
        <is>
          <t>VÅRGÅRDA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46320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46320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46320</v>
      </c>
      <c r="F268" t="inlineStr">
        <is>
          <t>VÄSTRA GÖTALANDS LÄN</t>
        </is>
      </c>
      <c r="G268" t="inlineStr">
        <is>
          <t>VÅRGÅRDA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46320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59381-2022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44905</v>
      </c>
      <c r="E270" s="1" t="n">
        <v>46320</v>
      </c>
      <c r="F270" t="inlineStr">
        <is>
          <t>VÄSTRA GÖTALANDS LÄN</t>
        </is>
      </c>
      <c r="G270" t="inlineStr">
        <is>
          <t>VÅRGÅRDA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45366</v>
      </c>
      <c r="E271" s="1" t="n">
        <v>46320</v>
      </c>
      <c r="F271" t="inlineStr">
        <is>
          <t>VÄSTRA GÖTALANDS LÄN</t>
        </is>
      </c>
      <c r="G271" t="inlineStr">
        <is>
          <t>VÅRGÅRDA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44725</v>
      </c>
      <c r="E272" s="1" t="n">
        <v>46320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46320</v>
      </c>
      <c r="F273" t="inlineStr">
        <is>
          <t>VÄSTRA GÖTALANDS LÄN</t>
        </is>
      </c>
      <c r="G273" t="inlineStr">
        <is>
          <t>VÅRGÅRDA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46320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Allmännings- och besparingsskogar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46320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46320</v>
      </c>
      <c r="F276" t="inlineStr">
        <is>
          <t>VÄSTRA GÖTALANDS LÄN</t>
        </is>
      </c>
      <c r="G276" t="inlineStr">
        <is>
          <t>VÅRGÅRDA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46320</v>
      </c>
      <c r="F277" t="inlineStr">
        <is>
          <t>VÄSTRA GÖTALANDS LÄN</t>
        </is>
      </c>
      <c r="G277" t="inlineStr">
        <is>
          <t>VÅRGÅRDA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46320</v>
      </c>
      <c r="F278" t="inlineStr">
        <is>
          <t>VÄSTRA GÖTALANDS LÄN</t>
        </is>
      </c>
      <c r="G278" t="inlineStr">
        <is>
          <t>VÅRGÅRDA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46320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46320</v>
      </c>
      <c r="F280" t="inlineStr">
        <is>
          <t>VÄSTRA GÖTALANDS LÄN</t>
        </is>
      </c>
      <c r="G280" t="inlineStr">
        <is>
          <t>VÅRGÅRDA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46320</v>
      </c>
      <c r="F281" t="inlineStr">
        <is>
          <t>VÄSTRA GÖTALANDS LÄN</t>
        </is>
      </c>
      <c r="G281" t="inlineStr">
        <is>
          <t>VÅRGÅRDA</t>
        </is>
      </c>
      <c r="I281" t="n">
        <v>10.9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46320</v>
      </c>
      <c r="F282" t="inlineStr">
        <is>
          <t>VÄSTRA GÖTALANDS LÄN</t>
        </is>
      </c>
      <c r="G282" t="inlineStr">
        <is>
          <t>VÅRGÅRDA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46320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46320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45491</v>
      </c>
      <c r="E285" s="1" t="n">
        <v>46320</v>
      </c>
      <c r="F285" t="inlineStr">
        <is>
          <t>VÄSTRA GÖTALANDS LÄN</t>
        </is>
      </c>
      <c r="G285" t="inlineStr">
        <is>
          <t>VÅRGÅRDA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46320</v>
      </c>
      <c r="F286" t="inlineStr">
        <is>
          <t>VÄSTRA GÖTALANDS LÄN</t>
        </is>
      </c>
      <c r="G286" t="inlineStr">
        <is>
          <t>VÅRGÅRDA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46320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44943</v>
      </c>
      <c r="E288" s="1" t="n">
        <v>46320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45769</v>
      </c>
      <c r="E289" s="1" t="n">
        <v>46320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45057</v>
      </c>
      <c r="E290" s="1" t="n">
        <v>46320</v>
      </c>
      <c r="F290" t="inlineStr">
        <is>
          <t>VÄSTRA GÖTALANDS LÄN</t>
        </is>
      </c>
      <c r="G290" t="inlineStr">
        <is>
          <t>VÅRGÅRDA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46320</v>
      </c>
      <c r="F291" t="inlineStr">
        <is>
          <t>VÄSTRA GÖTALANDS LÄN</t>
        </is>
      </c>
      <c r="G291" t="inlineStr">
        <is>
          <t>VÅRGÅRDA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54587-2023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46320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44791</v>
      </c>
      <c r="E293" s="1" t="n">
        <v>46320</v>
      </c>
      <c r="F293" t="inlineStr">
        <is>
          <t>VÄSTRA GÖTALANDS LÄN</t>
        </is>
      </c>
      <c r="G293" t="inlineStr">
        <is>
          <t>VÅRGÅRDA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46320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46320</v>
      </c>
      <c r="F295" t="inlineStr">
        <is>
          <t>VÄSTRA GÖTALANDS LÄN</t>
        </is>
      </c>
      <c r="G295" t="inlineStr">
        <is>
          <t>VÅRGÅRDA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46320</v>
      </c>
      <c r="F296" t="inlineStr">
        <is>
          <t>VÄSTRA GÖTALANDS LÄN</t>
        </is>
      </c>
      <c r="G296" t="inlineStr">
        <is>
          <t>VÅRGÅRDA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64234-2021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44510</v>
      </c>
      <c r="E297" s="1" t="n">
        <v>46320</v>
      </c>
      <c r="F297" t="inlineStr">
        <is>
          <t>VÄSTRA GÖTALANDS LÄN</t>
        </is>
      </c>
      <c r="G297" t="inlineStr">
        <is>
          <t>VÅRGÅRDA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45374</v>
      </c>
      <c r="E298" s="1" t="n">
        <v>46320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45375</v>
      </c>
      <c r="E299" s="1" t="n">
        <v>46320</v>
      </c>
      <c r="F299" t="inlineStr">
        <is>
          <t>VÄSTRA GÖTALANDS LÄN</t>
        </is>
      </c>
      <c r="G299" t="inlineStr">
        <is>
          <t>VÅRGÅRDA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64386-2021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44511</v>
      </c>
      <c r="E300" s="1" t="n">
        <v>46320</v>
      </c>
      <c r="F300" t="inlineStr">
        <is>
          <t>VÄSTRA GÖTALANDS LÄN</t>
        </is>
      </c>
      <c r="G300" t="inlineStr">
        <is>
          <t>VÅRGÅRDA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46320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46320</v>
      </c>
      <c r="F302" t="inlineStr">
        <is>
          <t>VÄSTRA GÖTALANDS LÄN</t>
        </is>
      </c>
      <c r="G302" t="inlineStr">
        <is>
          <t>VÅRGÅRDA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46320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46320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46320</v>
      </c>
      <c r="F305" t="inlineStr">
        <is>
          <t>VÄSTRA GÖTALANDS LÄN</t>
        </is>
      </c>
      <c r="G305" t="inlineStr">
        <is>
          <t>VÅRGÅRDA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46320</v>
      </c>
      <c r="F306" t="inlineStr">
        <is>
          <t>VÄSTRA GÖTALANDS LÄN</t>
        </is>
      </c>
      <c r="G306" t="inlineStr">
        <is>
          <t>VÅRGÅRDA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45134</v>
      </c>
      <c r="E307" s="1" t="n">
        <v>46320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46320</v>
      </c>
      <c r="F308" t="inlineStr">
        <is>
          <t>VÄSTRA GÖTALANDS LÄN</t>
        </is>
      </c>
      <c r="G308" t="inlineStr">
        <is>
          <t>VÅRGÅRDA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46320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45040</v>
      </c>
      <c r="E310" s="1" t="n">
        <v>46320</v>
      </c>
      <c r="F310" t="inlineStr">
        <is>
          <t>VÄSTRA GÖTALANDS LÄN</t>
        </is>
      </c>
      <c r="G310" t="inlineStr">
        <is>
          <t>VÅRGÅRDA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66386-2021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44518</v>
      </c>
      <c r="E311" s="1" t="n">
        <v>46320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45327</v>
      </c>
      <c r="E312" s="1" t="n">
        <v>46320</v>
      </c>
      <c r="F312" t="inlineStr">
        <is>
          <t>VÄSTRA GÖTALANDS LÄN</t>
        </is>
      </c>
      <c r="G312" t="inlineStr">
        <is>
          <t>VÅRGÅRDA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46320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46320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46320</v>
      </c>
      <c r="F315" t="inlineStr">
        <is>
          <t>VÄSTRA GÖTALANDS LÄN</t>
        </is>
      </c>
      <c r="G315" t="inlineStr">
        <is>
          <t>VÅRGÅRDA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46320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44655</v>
      </c>
      <c r="E317" s="1" t="n">
        <v>46320</v>
      </c>
      <c r="F317" t="inlineStr">
        <is>
          <t>VÄSTRA GÖTALANDS LÄN</t>
        </is>
      </c>
      <c r="G317" t="inlineStr">
        <is>
          <t>VÅRGÅRDA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46320</v>
      </c>
      <c r="F318" t="inlineStr">
        <is>
          <t>VÄSTRA GÖTALANDS LÄN</t>
        </is>
      </c>
      <c r="G318" t="inlineStr">
        <is>
          <t>VÅRGÅRDA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46320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46320</v>
      </c>
      <c r="F320" t="inlineStr">
        <is>
          <t>VÄSTRA GÖTALANDS LÄN</t>
        </is>
      </c>
      <c r="G320" t="inlineStr">
        <is>
          <t>VÅRGÅRDA</t>
        </is>
      </c>
      <c r="H320" t="inlineStr">
        <is>
          <t>Kyrkan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46320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46320</v>
      </c>
      <c r="F322" t="inlineStr">
        <is>
          <t>VÄSTRA GÖTALANDS LÄN</t>
        </is>
      </c>
      <c r="G322" t="inlineStr">
        <is>
          <t>VÅRGÅRDA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45612</v>
      </c>
      <c r="E323" s="1" t="n">
        <v>46320</v>
      </c>
      <c r="F323" t="inlineStr">
        <is>
          <t>VÄSTRA GÖTALANDS LÄN</t>
        </is>
      </c>
      <c r="G323" t="inlineStr">
        <is>
          <t>VÅRGÅRDA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45772</v>
      </c>
      <c r="E324" s="1" t="n">
        <v>46320</v>
      </c>
      <c r="F324" t="inlineStr">
        <is>
          <t>VÄSTRA GÖTALANDS LÄN</t>
        </is>
      </c>
      <c r="G324" t="inlineStr">
        <is>
          <t>VÅRGÅRDA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46320</v>
      </c>
      <c r="F325" t="inlineStr">
        <is>
          <t>VÄSTRA GÖTALANDS LÄN</t>
        </is>
      </c>
      <c r="G325" t="inlineStr">
        <is>
          <t>VÅRGÅRDA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44907</v>
      </c>
      <c r="E326" s="1" t="n">
        <v>46320</v>
      </c>
      <c r="F326" t="inlineStr">
        <is>
          <t>VÄSTRA GÖTALANDS LÄN</t>
        </is>
      </c>
      <c r="G326" t="inlineStr">
        <is>
          <t>VÅRGÅRDA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46320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Sveaskog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46320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46320</v>
      </c>
      <c r="F329" t="inlineStr">
        <is>
          <t>VÄSTRA GÖTALANDS LÄN</t>
        </is>
      </c>
      <c r="G329" t="inlineStr">
        <is>
          <t>VÅRGÅRDA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45756</v>
      </c>
      <c r="E330" s="1" t="n">
        <v>46320</v>
      </c>
      <c r="F330" t="inlineStr">
        <is>
          <t>VÄSTRA GÖTALANDS LÄN</t>
        </is>
      </c>
      <c r="G330" t="inlineStr">
        <is>
          <t>VÅRGÅRDA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1005-2024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45301</v>
      </c>
      <c r="E331" s="1" t="n">
        <v>46320</v>
      </c>
      <c r="F331" t="inlineStr">
        <is>
          <t>VÄSTRA GÖTALANDS LÄN</t>
        </is>
      </c>
      <c r="G331" t="inlineStr">
        <is>
          <t>VÅRGÅRDA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44946</v>
      </c>
      <c r="E332" s="1" t="n">
        <v>46320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46320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45406</v>
      </c>
      <c r="E334" s="1" t="n">
        <v>46320</v>
      </c>
      <c r="F334" t="inlineStr">
        <is>
          <t>VÄSTRA GÖTALANDS LÄN</t>
        </is>
      </c>
      <c r="G334" t="inlineStr">
        <is>
          <t>VÅRGÅRDA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46320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46320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46320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46320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46320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46320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46320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46320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46320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46320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46320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46320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46320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2751-2026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46316</v>
      </c>
      <c r="E348" s="1" t="n">
        <v>46320</v>
      </c>
      <c r="F348" t="inlineStr">
        <is>
          <t>VÄSTRA GÖTALANDS LÄN</t>
        </is>
      </c>
      <c r="G348" t="inlineStr">
        <is>
          <t>VÅRGÅRDA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2026-10-25T02:04:58Z</dcterms:created>
  <dcterms:modified xmlns:dcterms="http://purl.org/dc/terms/" xmlns:xsi="http://www.w3.org/2001/XMLSchema-instance" xsi:type="dcterms:W3CDTF">2026-10-25T02:04:59Z</dcterms:modified>
</cp:coreProperties>
</file>