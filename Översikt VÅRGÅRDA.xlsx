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46221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Borsttåg</t>
        </is>
      </c>
      <c r="V4">
        <f>HYPERLINK("https://klasma.github.io/Logging_1442/artfynd/A 13991-2023 artfynd.xlsx", "A 13991-2023")</f>
        <v/>
      </c>
      <c r="W4">
        <f>HYPERLINK("https://klasma.github.io/Logging_1442/kartor/A 13991-2023 karta.png", "A 13991-2023")</f>
        <v/>
      </c>
      <c r="Y4">
        <f>HYPERLINK("https://klasma.github.io/Logging_1442/klagomål/A 13991-2023 FSC-klagomål.docx", "A 13991-2023")</f>
        <v/>
      </c>
      <c r="Z4">
        <f>HYPERLINK("https://klasma.github.io/Logging_1442/klagomålsmail/A 13991-2023 FSC-klagomål mail.docx", "A 13991-2023")</f>
        <v/>
      </c>
      <c r="AA4">
        <f>HYPERLINK("https://klasma.github.io/Logging_1442/tillsyn/A 13991-2023 tillsynsbegäran.docx", "A 13991-2023")</f>
        <v/>
      </c>
      <c r="AB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46221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Stare</t>
        </is>
      </c>
      <c r="V5">
        <f>HYPERLINK("https://klasma.github.io/Logging_1442/artfynd/A 11214-2023 artfynd.xlsx", "A 11214-2023")</f>
        <v/>
      </c>
      <c r="W5">
        <f>HYPERLINK("https://klasma.github.io/Logging_1442/kartor/A 11214-2023 karta.png", "A 11214-2023")</f>
        <v/>
      </c>
      <c r="Y5">
        <f>HYPERLINK("https://klasma.github.io/Logging_1442/klagomål/A 11214-2023 FSC-klagomål.docx", "A 11214-2023")</f>
        <v/>
      </c>
      <c r="Z5">
        <f>HYPERLINK("https://klasma.github.io/Logging_1442/klagomålsmail/A 11214-2023 FSC-klagomål mail.docx", "A 11214-2023")</f>
        <v/>
      </c>
      <c r="AA5">
        <f>HYPERLINK("https://klasma.github.io/Logging_1442/tillsyn/A 11214-2023 tillsynsbegäran.docx", "A 11214-2023")</f>
        <v/>
      </c>
      <c r="AB5">
        <f>HYPERLINK("https://klasma.github.io/Logging_1442/tillsynsmail/A 11214-2023 tillsynsbegäran mail.docx", "A 11214-2023")</f>
        <v/>
      </c>
      <c r="AC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46221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Y6">
        <f>HYPERLINK("https://klasma.github.io/Logging_1442/klagomål/A 43593-2025 FSC-klagomål.docx", "A 43593-2025")</f>
        <v/>
      </c>
      <c r="Z6">
        <f>HYPERLINK("https://klasma.github.io/Logging_1442/klagomålsmail/A 43593-2025 FSC-klagomål mail.docx", "A 43593-2025")</f>
        <v/>
      </c>
      <c r="AA6">
        <f>HYPERLINK("https://klasma.github.io/Logging_1442/tillsyn/A 43593-2025 tillsynsbegäran.docx", "A 43593-2025")</f>
        <v/>
      </c>
      <c r="AB6">
        <f>HYPERLINK("https://klasma.github.io/Logging_1442/tillsynsmail/A 43593-2025 tillsynsbegäran mail.docx", "A 43593-2025")</f>
        <v/>
      </c>
      <c r="AC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46221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Y7">
        <f>HYPERLINK("https://klasma.github.io/Logging_1442/klagomål/A 48760-2025 FSC-klagomål.docx", "A 48760-2025")</f>
        <v/>
      </c>
      <c r="Z7">
        <f>HYPERLINK("https://klasma.github.io/Logging_1442/klagomålsmail/A 48760-2025 FSC-klagomål mail.docx", "A 48760-2025")</f>
        <v/>
      </c>
      <c r="AA7">
        <f>HYPERLINK("https://klasma.github.io/Logging_1442/tillsyn/A 48760-2025 tillsynsbegäran.docx", "A 48760-2025")</f>
        <v/>
      </c>
      <c r="AB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46221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Älg</t>
        </is>
      </c>
      <c r="V8">
        <f>HYPERLINK("https://klasma.github.io/Logging_1442/artfynd/A 48955-2025 artfynd.xlsx", "A 48955-2025")</f>
        <v/>
      </c>
      <c r="W8">
        <f>HYPERLINK("https://klasma.github.io/Logging_1442/kartor/A 48955-2025 karta.png", "A 48955-2025")</f>
        <v/>
      </c>
      <c r="Y8">
        <f>HYPERLINK("https://klasma.github.io/Logging_1442/klagomål/A 48955-2025 FSC-klagomål.docx", "A 48955-2025")</f>
        <v/>
      </c>
      <c r="Z8">
        <f>HYPERLINK("https://klasma.github.io/Logging_1442/klagomålsmail/A 48955-2025 FSC-klagomål mail.docx", "A 48955-2025")</f>
        <v/>
      </c>
      <c r="AA8">
        <f>HYPERLINK("https://klasma.github.io/Logging_1442/tillsyn/A 48955-2025 tillsynsbegäran.docx", "A 48955-2025")</f>
        <v/>
      </c>
      <c r="AB8">
        <f>HYPERLINK("https://klasma.github.io/Logging_1442/tillsynsmail/A 48955-2025 tillsynsbegäran mail.docx", "A 48955-2025")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46221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HYPERLINK("https://klasma.github.io/Logging_1442/artfynd/A 7533-2026 artfynd.xlsx", "A 7533-2026")</f>
        <v/>
      </c>
      <c r="W9">
        <f>HYPERLINK("https://klasma.github.io/Logging_1442/kartor/A 7533-2026 karta.png", "A 7533-2026")</f>
        <v/>
      </c>
      <c r="Y9">
        <f>HYPERLINK("https://klasma.github.io/Logging_1442/klagomål/A 7533-2026 FSC-klagomål.docx", "A 7533-2026")</f>
        <v/>
      </c>
      <c r="Z9">
        <f>HYPERLINK("https://klasma.github.io/Logging_1442/klagomålsmail/A 7533-2026 FSC-klagomål mail.docx", "A 7533-2026")</f>
        <v/>
      </c>
      <c r="AA9">
        <f>HYPERLINK("https://klasma.github.io/Logging_1442/tillsyn/A 7533-2026 tillsynsbegäran.docx", "A 7533-2026")</f>
        <v/>
      </c>
      <c r="AB9">
        <f>HYPERLINK("https://klasma.github.io/Logging_1442/tillsynsmail/A 7533-2026 tillsynsbegäran mail.docx", "A 7533-2026")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46221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Blomkålssvamp</t>
        </is>
      </c>
      <c r="V10">
        <f>HYPERLINK("https://klasma.github.io/Logging_1442/artfynd/A 8657-2026 artfynd.xlsx", "A 8657-2026")</f>
        <v/>
      </c>
      <c r="W10">
        <f>HYPERLINK("https://klasma.github.io/Logging_1442/kartor/A 8657-2026 karta.png", "A 8657-2026")</f>
        <v/>
      </c>
      <c r="Y10">
        <f>HYPERLINK("https://klasma.github.io/Logging_1442/klagomål/A 8657-2026 FSC-klagomål.docx", "A 8657-2026")</f>
        <v/>
      </c>
      <c r="Z10">
        <f>HYPERLINK("https://klasma.github.io/Logging_1442/klagomålsmail/A 8657-2026 FSC-klagomål mail.docx", "A 8657-2026")</f>
        <v/>
      </c>
      <c r="AA10">
        <f>HYPERLINK("https://klasma.github.io/Logging_1442/tillsyn/A 8657-2026 tillsynsbegäran.docx", "A 8657-2026")</f>
        <v/>
      </c>
      <c r="AB10">
        <f>HYPERLINK("https://klasma.github.io/Logging_1442/tillsynsmail/A 8657-2026 tillsynsbegäran mail.docx", "A 8657-2026")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46221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Granspira</t>
        </is>
      </c>
      <c r="V11">
        <f>HYPERLINK("https://klasma.github.io/Logging_1442/artfynd/A 17527-2025 artfynd.xlsx", "A 17527-2025")</f>
        <v/>
      </c>
      <c r="W11">
        <f>HYPERLINK("https://klasma.github.io/Logging_1442/kartor/A 17527-2025 karta.png", "A 17527-2025")</f>
        <v/>
      </c>
      <c r="Y11">
        <f>HYPERLINK("https://klasma.github.io/Logging_1442/klagomål/A 17527-2025 FSC-klagomål.docx", "A 17527-2025")</f>
        <v/>
      </c>
      <c r="Z11">
        <f>HYPERLINK("https://klasma.github.io/Logging_1442/klagomålsmail/A 17527-2025 FSC-klagomål mail.docx", "A 17527-2025")</f>
        <v/>
      </c>
      <c r="AA11">
        <f>HYPERLINK("https://klasma.github.io/Logging_1442/tillsyn/A 17527-2025 tillsynsbegäran.docx", "A 17527-2025")</f>
        <v/>
      </c>
      <c r="AB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46221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HYPERLINK("https://klasma.github.io/Logging_1442/artfynd/A 47506-2023 artfynd.xlsx", "A 47506-2023")</f>
        <v/>
      </c>
      <c r="W12">
        <f>HYPERLINK("https://klasma.github.io/Logging_1442/kartor/A 47506-2023 karta.png", "A 47506-2023")</f>
        <v/>
      </c>
      <c r="Y12">
        <f>HYPERLINK("https://klasma.github.io/Logging_1442/klagomål/A 47506-2023 FSC-klagomål.docx", "A 47506-2023")</f>
        <v/>
      </c>
      <c r="Z12">
        <f>HYPERLINK("https://klasma.github.io/Logging_1442/klagomålsmail/A 47506-2023 FSC-klagomål mail.docx", "A 47506-2023")</f>
        <v/>
      </c>
      <c r="AA12">
        <f>HYPERLINK("https://klasma.github.io/Logging_1442/tillsyn/A 47506-2023 tillsynsbegäran.docx", "A 47506-2023")</f>
        <v/>
      </c>
      <c r="AB12">
        <f>HYPERLINK("https://klasma.github.io/Logging_1442/tillsynsmail/A 47506-2023 tillsynsbegäran mail.docx", "A 47506-2023")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46221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Jungfrulin</t>
        </is>
      </c>
      <c r="V13">
        <f>HYPERLINK("https://klasma.github.io/Logging_1442/artfynd/A 59508-2025 artfynd.xlsx", "A 59508-2025")</f>
        <v/>
      </c>
      <c r="W13">
        <f>HYPERLINK("https://klasma.github.io/Logging_1442/kartor/A 59508-2025 karta.png", "A 59508-2025")</f>
        <v/>
      </c>
      <c r="Y13">
        <f>HYPERLINK("https://klasma.github.io/Logging_1442/klagomål/A 59508-2025 FSC-klagomål.docx", "A 59508-2025")</f>
        <v/>
      </c>
      <c r="Z13">
        <f>HYPERLINK("https://klasma.github.io/Logging_1442/klagomålsmail/A 59508-2025 FSC-klagomål mail.docx", "A 59508-2025")</f>
        <v/>
      </c>
      <c r="AA13">
        <f>HYPERLINK("https://klasma.github.io/Logging_1442/tillsyn/A 59508-2025 tillsynsbegäran.docx", "A 59508-2025")</f>
        <v/>
      </c>
      <c r="AB13">
        <f>HYPERLINK("https://klasma.github.io/Logging_1442/tillsynsmail/A 59508-2025 tillsynsbegäran mail.docx", "A 59508-2025")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46221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Granspira</t>
        </is>
      </c>
      <c r="V14">
        <f>HYPERLINK("https://klasma.github.io/Logging_1442/artfynd/A 16587-2025 artfynd.xlsx", "A 16587-2025")</f>
        <v/>
      </c>
      <c r="W14">
        <f>HYPERLINK("https://klasma.github.io/Logging_1442/kartor/A 16587-2025 karta.png", "A 16587-2025")</f>
        <v/>
      </c>
      <c r="Y14">
        <f>HYPERLINK("https://klasma.github.io/Logging_1442/klagomål/A 16587-2025 FSC-klagomål.docx", "A 16587-2025")</f>
        <v/>
      </c>
      <c r="Z14">
        <f>HYPERLINK("https://klasma.github.io/Logging_1442/klagomålsmail/A 16587-2025 FSC-klagomål mail.docx", "A 16587-2025")</f>
        <v/>
      </c>
      <c r="AA14">
        <f>HYPERLINK("https://klasma.github.io/Logging_1442/tillsyn/A 16587-2025 tillsynsbegäran.docx", "A 16587-2025")</f>
        <v/>
      </c>
      <c r="AB14">
        <f>HYPERLINK("https://klasma.github.io/Logging_1442/tillsynsmail/A 16587-2025 tillsynsbegäran mail.docx", "A 16587-2025")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46221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HYPERLINK("https://klasma.github.io/Logging_1442/artfynd/A 2412-2026 artfynd.xlsx", "A 2412-2026")</f>
        <v/>
      </c>
      <c r="W15">
        <f>HYPERLINK("https://klasma.github.io/Logging_1442/kartor/A 2412-2026 karta.png", "A 2412-2026")</f>
        <v/>
      </c>
      <c r="Y15">
        <f>HYPERLINK("https://klasma.github.io/Logging_1442/klagomål/A 2412-2026 FSC-klagomål.docx", "A 2412-2026")</f>
        <v/>
      </c>
      <c r="Z15">
        <f>HYPERLINK("https://klasma.github.io/Logging_1442/klagomålsmail/A 2412-2026 FSC-klagomål mail.docx", "A 2412-2026")</f>
        <v/>
      </c>
      <c r="AA15">
        <f>HYPERLINK("https://klasma.github.io/Logging_1442/tillsyn/A 2412-2026 tillsynsbegäran.docx", "A 2412-2026")</f>
        <v/>
      </c>
      <c r="AB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46221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16912-2025 artfynd.xlsx", "A 16912-2025")</f>
        <v/>
      </c>
      <c r="W16">
        <f>HYPERLINK("https://klasma.github.io/Logging_1442/kartor/A 16912-2025 karta.png", "A 16912-2025")</f>
        <v/>
      </c>
      <c r="Y16">
        <f>HYPERLINK("https://klasma.github.io/Logging_1442/klagomål/A 16912-2025 FSC-klagomål.docx", "A 16912-2025")</f>
        <v/>
      </c>
      <c r="Z16">
        <f>HYPERLINK("https://klasma.github.io/Logging_1442/klagomålsmail/A 16912-2025 FSC-klagomål mail.docx", "A 16912-2025")</f>
        <v/>
      </c>
      <c r="AA16">
        <f>HYPERLINK("https://klasma.github.io/Logging_1442/tillsyn/A 16912-2025 tillsynsbegäran.docx", "A 16912-2025")</f>
        <v/>
      </c>
      <c r="AB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Y17">
        <f>HYPERLINK("https://klasma.github.io/Logging_1442/klagomål/A 16590-2025 FSC-klagomål.docx", "A 16590-2025")</f>
        <v/>
      </c>
      <c r="Z17">
        <f>HYPERLINK("https://klasma.github.io/Logging_1442/klagomålsmail/A 16590-2025 FSC-klagomål mail.docx", "A 16590-2025")</f>
        <v/>
      </c>
      <c r="AA17">
        <f>HYPERLINK("https://klasma.github.io/Logging_1442/tillsyn/A 16590-2025 tillsynsbegäran.docx", "A 16590-2025")</f>
        <v/>
      </c>
      <c r="AB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46221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46221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46221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46221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46221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46221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46221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46221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46221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46221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46221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46221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46221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46221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46221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46221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46221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46221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46221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46221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46221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46221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46221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46221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46221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46221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46221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46221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46221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46221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29092-2023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46221</v>
      </c>
      <c r="F54" t="inlineStr">
        <is>
          <t>VÄSTRA GÖTALANDS LÄN</t>
        </is>
      </c>
      <c r="G54" t="inlineStr">
        <is>
          <t>VÅRGÅRDA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57921-2022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46221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46221</v>
      </c>
      <c r="F56" t="inlineStr">
        <is>
          <t>VÄSTRA GÖTALANDS LÄN</t>
        </is>
      </c>
      <c r="G56" t="inlineStr">
        <is>
          <t>VÅRGÅRDA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46221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46221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46221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46221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46221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46221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46221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46221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46221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46221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46221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46221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46221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62097-2022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44920</v>
      </c>
      <c r="E70" s="1" t="n">
        <v>46221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46221</v>
      </c>
      <c r="F71" t="inlineStr">
        <is>
          <t>VÄSTRA GÖTALANDS LÄN</t>
        </is>
      </c>
      <c r="G71" t="inlineStr">
        <is>
          <t>VÅRGÅRDA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46221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46221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46221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46221</v>
      </c>
      <c r="F75" t="inlineStr">
        <is>
          <t>VÄSTRA GÖTALANDS LÄN</t>
        </is>
      </c>
      <c r="G75" t="inlineStr">
        <is>
          <t>VÅRGÅRDA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46221</v>
      </c>
      <c r="F76" t="inlineStr">
        <is>
          <t>VÄSTRA GÖTALANDS LÄN</t>
        </is>
      </c>
      <c r="G76" t="inlineStr">
        <is>
          <t>VÅRGÅRDA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59325-2023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45253</v>
      </c>
      <c r="E77" s="1" t="n">
        <v>46221</v>
      </c>
      <c r="F77" t="inlineStr">
        <is>
          <t>VÄSTRA GÖTALANDS LÄN</t>
        </is>
      </c>
      <c r="G77" t="inlineStr">
        <is>
          <t>VÅRGÅRDA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46221</v>
      </c>
      <c r="F78" t="inlineStr">
        <is>
          <t>VÄSTRA GÖTALANDS LÄN</t>
        </is>
      </c>
      <c r="G78" t="inlineStr">
        <is>
          <t>VÅRGÅRDA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8983-2024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46221</v>
      </c>
      <c r="F79" t="inlineStr">
        <is>
          <t>VÄSTRA GÖTALANDS LÄN</t>
        </is>
      </c>
      <c r="G79" t="inlineStr">
        <is>
          <t>VÅRGÅRDA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46221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27249-2025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46221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46221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46221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46221</v>
      </c>
      <c r="F84" t="inlineStr">
        <is>
          <t>VÄSTRA GÖTALANDS LÄN</t>
        </is>
      </c>
      <c r="G84" t="inlineStr">
        <is>
          <t>VÅRGÅRDA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27110-2025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46221</v>
      </c>
      <c r="F85" t="inlineStr">
        <is>
          <t>VÄSTRA GÖTALANDS LÄN</t>
        </is>
      </c>
      <c r="G85" t="inlineStr">
        <is>
          <t>VÅRGÅRDA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7962-2024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46221</v>
      </c>
      <c r="F86" t="inlineStr">
        <is>
          <t>VÄSTRA GÖTALANDS LÄN</t>
        </is>
      </c>
      <c r="G86" t="inlineStr">
        <is>
          <t>VÅRGÅRDA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45401</v>
      </c>
      <c r="E87" s="1" t="n">
        <v>46221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46221</v>
      </c>
      <c r="F88" t="inlineStr">
        <is>
          <t>VÄSTRA GÖTALANDS LÄN</t>
        </is>
      </c>
      <c r="G88" t="inlineStr">
        <is>
          <t>VÅRGÅRDA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27141-2024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46221</v>
      </c>
      <c r="F89" t="inlineStr">
        <is>
          <t>VÄSTRA GÖTALANDS LÄN</t>
        </is>
      </c>
      <c r="G89" t="inlineStr">
        <is>
          <t>VÅRGÅRDA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16281-2025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46221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16283-2025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46221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20807-2025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45776</v>
      </c>
      <c r="E92" s="1" t="n">
        <v>46221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46221</v>
      </c>
      <c r="F93" t="inlineStr">
        <is>
          <t>VÄSTRA GÖTALANDS LÄN</t>
        </is>
      </c>
      <c r="G93" t="inlineStr">
        <is>
          <t>VÅRGÅRDA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45774</v>
      </c>
      <c r="E94" s="1" t="n">
        <v>46221</v>
      </c>
      <c r="F94" t="inlineStr">
        <is>
          <t>VÄSTRA GÖTALANDS LÄN</t>
        </is>
      </c>
      <c r="G94" t="inlineStr">
        <is>
          <t>VÅRGÅRDA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46221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14786-2024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46221</v>
      </c>
      <c r="F96" t="inlineStr">
        <is>
          <t>VÄSTRA GÖTALANDS LÄN</t>
        </is>
      </c>
      <c r="G96" t="inlineStr">
        <is>
          <t>VÅRGÅRDA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49751-2023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46221</v>
      </c>
      <c r="F97" t="inlineStr">
        <is>
          <t>VÄSTRA GÖTALANDS LÄN</t>
        </is>
      </c>
      <c r="G97" t="inlineStr">
        <is>
          <t>VÅRGÅRDA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46221</v>
      </c>
      <c r="F98" t="inlineStr">
        <is>
          <t>VÄSTRA GÖTALANDS LÄN</t>
        </is>
      </c>
      <c r="G98" t="inlineStr">
        <is>
          <t>VÅRGÅRDA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46221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46221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46221</v>
      </c>
      <c r="F101" t="inlineStr">
        <is>
          <t>VÄSTRA GÖTALANDS LÄN</t>
        </is>
      </c>
      <c r="G101" t="inlineStr">
        <is>
          <t>VÅRGÅRDA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46221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61907-2022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46221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Kyrkan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46221</v>
      </c>
      <c r="F104" t="inlineStr">
        <is>
          <t>VÄSTRA GÖTALANDS LÄN</t>
        </is>
      </c>
      <c r="G104" t="inlineStr">
        <is>
          <t>VÅRGÅRDA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35055-2025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45852</v>
      </c>
      <c r="E105" s="1" t="n">
        <v>46221</v>
      </c>
      <c r="F105" t="inlineStr">
        <is>
          <t>VÄSTRA GÖTALANDS LÄN</t>
        </is>
      </c>
      <c r="G105" t="inlineStr">
        <is>
          <t>VÅRGÅRDA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59381-2022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44905</v>
      </c>
      <c r="E106" s="1" t="n">
        <v>46221</v>
      </c>
      <c r="F106" t="inlineStr">
        <is>
          <t>VÄSTRA GÖTALANDS LÄN</t>
        </is>
      </c>
      <c r="G106" t="inlineStr">
        <is>
          <t>VÅRGÅRDA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46221</v>
      </c>
      <c r="F107" t="inlineStr">
        <is>
          <t>VÄSTRA GÖTALANDS LÄN</t>
        </is>
      </c>
      <c r="G107" t="inlineStr">
        <is>
          <t>VÅRGÅRDA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45906</v>
      </c>
      <c r="E108" s="1" t="n">
        <v>46221</v>
      </c>
      <c r="F108" t="inlineStr">
        <is>
          <t>VÄSTRA GÖTALANDS LÄN</t>
        </is>
      </c>
      <c r="G108" t="inlineStr">
        <is>
          <t>VÅRGÅRDA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46221</v>
      </c>
      <c r="F109" t="inlineStr">
        <is>
          <t>VÄSTRA GÖTALANDS LÄN</t>
        </is>
      </c>
      <c r="G109" t="inlineStr">
        <is>
          <t>VÅRGÅRDA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46221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46221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24064-2022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46221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46221</v>
      </c>
      <c r="F113" t="inlineStr">
        <is>
          <t>VÄSTRA GÖTALANDS LÄN</t>
        </is>
      </c>
      <c r="G113" t="inlineStr">
        <is>
          <t>VÅRGÅRDA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46221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Allmännings- och besparingsskogar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46221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Allmännings- och besparingsskogar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50053-2024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46221</v>
      </c>
      <c r="F116" t="inlineStr">
        <is>
          <t>VÄSTRA GÖTALANDS LÄN</t>
        </is>
      </c>
      <c r="G116" t="inlineStr">
        <is>
          <t>VÅRGÅRDA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46051</v>
      </c>
      <c r="E117" s="1" t="n">
        <v>46221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30674-2023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46221</v>
      </c>
      <c r="F118" t="inlineStr">
        <is>
          <t>VÄSTRA GÖTALANDS LÄN</t>
        </is>
      </c>
      <c r="G118" t="inlineStr">
        <is>
          <t>VÅRGÅRDA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45920</v>
      </c>
      <c r="E119" s="1" t="n">
        <v>46221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46221</v>
      </c>
      <c r="F120" t="inlineStr">
        <is>
          <t>VÄSTRA GÖTALANDS LÄN</t>
        </is>
      </c>
      <c r="G120" t="inlineStr">
        <is>
          <t>VÅRGÅRDA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46221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46221</v>
      </c>
      <c r="F122" t="inlineStr">
        <is>
          <t>VÄSTRA GÖTALANDS LÄN</t>
        </is>
      </c>
      <c r="G122" t="inlineStr">
        <is>
          <t>VÅRGÅRDA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45573</v>
      </c>
      <c r="E123" s="1" t="n">
        <v>46221</v>
      </c>
      <c r="F123" t="inlineStr">
        <is>
          <t>VÄSTRA GÖTALANDS LÄN</t>
        </is>
      </c>
      <c r="G123" t="inlineStr">
        <is>
          <t>VÅRGÅRDA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46221</v>
      </c>
      <c r="F124" t="inlineStr">
        <is>
          <t>VÄSTRA GÖTALANDS LÄN</t>
        </is>
      </c>
      <c r="G124" t="inlineStr">
        <is>
          <t>VÅRGÅRDA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46234-2025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46221</v>
      </c>
      <c r="F125" t="inlineStr">
        <is>
          <t>VÄSTRA GÖTALANDS LÄN</t>
        </is>
      </c>
      <c r="G125" t="inlineStr">
        <is>
          <t>VÅRGÅRDA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46237-2025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46221</v>
      </c>
      <c r="F126" t="inlineStr">
        <is>
          <t>VÄSTRA GÖTALANDS LÄN</t>
        </is>
      </c>
      <c r="G126" t="inlineStr">
        <is>
          <t>VÅRGÅRDA</t>
        </is>
      </c>
      <c r="I126" t="n">
        <v>14.2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22515-2022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46221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22517-2022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44713</v>
      </c>
      <c r="E128" s="1" t="n">
        <v>46221</v>
      </c>
      <c r="F128" t="inlineStr">
        <is>
          <t>VÄSTRA GÖTALANDS LÄN</t>
        </is>
      </c>
      <c r="G128" t="inlineStr">
        <is>
          <t>VÅRGÅRDA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45565</v>
      </c>
      <c r="E129" s="1" t="n">
        <v>46221</v>
      </c>
      <c r="F129" t="inlineStr">
        <is>
          <t>VÄSTRA GÖTALANDS LÄN</t>
        </is>
      </c>
      <c r="G129" t="inlineStr">
        <is>
          <t>VÅRGÅRDA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46221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45859</v>
      </c>
      <c r="E131" s="1" t="n">
        <v>46221</v>
      </c>
      <c r="F131" t="inlineStr">
        <is>
          <t>VÄSTRA GÖTALANDS LÄN</t>
        </is>
      </c>
      <c r="G131" t="inlineStr">
        <is>
          <t>VÅRGÅRDA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46221</v>
      </c>
      <c r="F132" t="inlineStr">
        <is>
          <t>VÄSTRA GÖTALANDS LÄN</t>
        </is>
      </c>
      <c r="G132" t="inlineStr">
        <is>
          <t>VÅRGÅRDA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46221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46221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56637-2024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46221</v>
      </c>
      <c r="F135" t="inlineStr">
        <is>
          <t>VÄSTRA GÖTALANDS LÄN</t>
        </is>
      </c>
      <c r="G135" t="inlineStr">
        <is>
          <t>VÅRGÅRDA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46221</v>
      </c>
      <c r="F136" t="inlineStr">
        <is>
          <t>VÄSTRA GÖTALANDS LÄN</t>
        </is>
      </c>
      <c r="G136" t="inlineStr">
        <is>
          <t>VÅRGÅRDA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48104-2025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46221</v>
      </c>
      <c r="F137" t="inlineStr">
        <is>
          <t>VÄSTRA GÖTALANDS LÄN</t>
        </is>
      </c>
      <c r="G137" t="inlineStr">
        <is>
          <t>VÅRGÅRDA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46221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48082-2025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46221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46221</v>
      </c>
      <c r="F140" t="inlineStr">
        <is>
          <t>VÄSTRA GÖTALANDS LÄN</t>
        </is>
      </c>
      <c r="G140" t="inlineStr">
        <is>
          <t>VÅRGÅRDA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48080-2025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46221</v>
      </c>
      <c r="F141" t="inlineStr">
        <is>
          <t>VÄSTRA GÖTALANDS LÄN</t>
        </is>
      </c>
      <c r="G141" t="inlineStr">
        <is>
          <t>VÅRGÅRDA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46221</v>
      </c>
      <c r="F142" t="inlineStr">
        <is>
          <t>VÄSTRA GÖTALANDS LÄN</t>
        </is>
      </c>
      <c r="G142" t="inlineStr">
        <is>
          <t>VÅRGÅRDA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7070-2026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46221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46221</v>
      </c>
      <c r="F144" t="inlineStr">
        <is>
          <t>VÄSTRA GÖTALANDS LÄN</t>
        </is>
      </c>
      <c r="G144" t="inlineStr">
        <is>
          <t>VÅRGÅRDA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46221</v>
      </c>
      <c r="F145" t="inlineStr">
        <is>
          <t>VÄSTRA GÖTALANDS LÄN</t>
        </is>
      </c>
      <c r="G145" t="inlineStr">
        <is>
          <t>VÅRGÅRDA</t>
        </is>
      </c>
      <c r="I145" t="n">
        <v>10.9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49598-2025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46221</v>
      </c>
      <c r="F146" t="inlineStr">
        <is>
          <t>VÄSTRA GÖTALANDS LÄN</t>
        </is>
      </c>
      <c r="G146" t="inlineStr">
        <is>
          <t>VÅRGÅRDA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49855-2025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46221</v>
      </c>
      <c r="F147" t="inlineStr">
        <is>
          <t>VÄSTRA GÖTALANDS LÄN</t>
        </is>
      </c>
      <c r="G147" t="inlineStr">
        <is>
          <t>VÅRGÅRDA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36974-2024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46221</v>
      </c>
      <c r="F148" t="inlineStr">
        <is>
          <t>VÄSTRA GÖTALANDS LÄN</t>
        </is>
      </c>
      <c r="G148" t="inlineStr">
        <is>
          <t>VÅRGÅRDA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7529-2026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46221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7535-2026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46221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46221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Kommuner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46221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8372-2026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46221</v>
      </c>
      <c r="F153" t="inlineStr">
        <is>
          <t>VÄSTRA GÖTALANDS LÄN</t>
        </is>
      </c>
      <c r="G153" t="inlineStr">
        <is>
          <t>VÅRGÅRDA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8659-2026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46221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9725-2023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46221</v>
      </c>
      <c r="F155" t="inlineStr">
        <is>
          <t>VÄSTRA GÖTALANDS LÄN</t>
        </is>
      </c>
      <c r="G155" t="inlineStr">
        <is>
          <t>VÅRGÅRDA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46732-2023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46221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46221</v>
      </c>
      <c r="F157" t="inlineStr">
        <is>
          <t>VÄSTRA GÖTALANDS LÄN</t>
        </is>
      </c>
      <c r="G157" t="inlineStr">
        <is>
          <t>VÅRGÅRDA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9305-2026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46070</v>
      </c>
      <c r="E158" s="1" t="n">
        <v>46221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9261-2026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46070</v>
      </c>
      <c r="E159" s="1" t="n">
        <v>46221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9301-2026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46070</v>
      </c>
      <c r="E160" s="1" t="n">
        <v>46221</v>
      </c>
      <c r="F160" t="inlineStr">
        <is>
          <t>VÄSTRA GÖTALANDS LÄN</t>
        </is>
      </c>
      <c r="G160" t="inlineStr">
        <is>
          <t>VÅRGÅRDA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9297-2026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46070</v>
      </c>
      <c r="E161" s="1" t="n">
        <v>46221</v>
      </c>
      <c r="F161" t="inlineStr">
        <is>
          <t>VÄSTRA GÖTALANDS LÄN</t>
        </is>
      </c>
      <c r="G161" t="inlineStr">
        <is>
          <t>VÅRGÅRDA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30362-2024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46221</v>
      </c>
      <c r="F162" t="inlineStr">
        <is>
          <t>VÄSTRA GÖTALANDS LÄN</t>
        </is>
      </c>
      <c r="G162" t="inlineStr">
        <is>
          <t>VÅRGÅRDA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46221</v>
      </c>
      <c r="F163" t="inlineStr">
        <is>
          <t>VÄSTRA GÖTALANDS LÄN</t>
        </is>
      </c>
      <c r="G163" t="inlineStr">
        <is>
          <t>VÅRGÅRDA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54937-2022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46221</v>
      </c>
      <c r="F164" t="inlineStr">
        <is>
          <t>VÄSTRA GÖTALANDS LÄN</t>
        </is>
      </c>
      <c r="G164" t="inlineStr">
        <is>
          <t>VÅRGÅRDA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37424-2021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44398</v>
      </c>
      <c r="E165" s="1" t="n">
        <v>46221</v>
      </c>
      <c r="F165" t="inlineStr">
        <is>
          <t>VÄSTRA GÖTALANDS LÄN</t>
        </is>
      </c>
      <c r="G165" t="inlineStr">
        <is>
          <t>VÅRGÅRDA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46221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55188-2025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45968</v>
      </c>
      <c r="E167" s="1" t="n">
        <v>46221</v>
      </c>
      <c r="F167" t="inlineStr">
        <is>
          <t>VÄSTRA GÖTALANDS LÄN</t>
        </is>
      </c>
      <c r="G167" t="inlineStr">
        <is>
          <t>VÅRGÅRDA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46221</v>
      </c>
      <c r="F168" t="inlineStr">
        <is>
          <t>VÄSTRA GÖTALANDS LÄN</t>
        </is>
      </c>
      <c r="G168" t="inlineStr">
        <is>
          <t>VÅRGÅRDA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46221</v>
      </c>
      <c r="F169" t="inlineStr">
        <is>
          <t>VÄSTRA GÖTALANDS LÄN</t>
        </is>
      </c>
      <c r="G169" t="inlineStr">
        <is>
          <t>VÅRGÅRDA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2917-2023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44943</v>
      </c>
      <c r="E170" s="1" t="n">
        <v>46221</v>
      </c>
      <c r="F170" t="inlineStr">
        <is>
          <t>VÄSTRA GÖTALANDS LÄN</t>
        </is>
      </c>
      <c r="G170" t="inlineStr">
        <is>
          <t>VÅRGÅRDA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46221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46221</v>
      </c>
      <c r="F172" t="inlineStr">
        <is>
          <t>VÄSTRA GÖTALANDS LÄN</t>
        </is>
      </c>
      <c r="G172" t="inlineStr">
        <is>
          <t>VÅRGÅRDA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46221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57567-2025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46221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46108-2021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44442</v>
      </c>
      <c r="E175" s="1" t="n">
        <v>46221</v>
      </c>
      <c r="F175" t="inlineStr">
        <is>
          <t>VÄSTRA GÖTALANDS LÄN</t>
        </is>
      </c>
      <c r="G175" t="inlineStr">
        <is>
          <t>VÅRGÅRDA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19319-2025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46221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11869-2026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46221</v>
      </c>
      <c r="F177" t="inlineStr">
        <is>
          <t>VÄSTRA GÖTALANDS LÄN</t>
        </is>
      </c>
      <c r="G177" t="inlineStr">
        <is>
          <t>VÅRGÅRDA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46221</v>
      </c>
      <c r="F178" t="inlineStr">
        <is>
          <t>VÄSTRA GÖTALANDS LÄN</t>
        </is>
      </c>
      <c r="G178" t="inlineStr">
        <is>
          <t>VÅRGÅRDA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46221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46221</v>
      </c>
      <c r="F180" t="inlineStr">
        <is>
          <t>VÄSTRA GÖTALANDS LÄN</t>
        </is>
      </c>
      <c r="G180" t="inlineStr">
        <is>
          <t>VÅRGÅRDA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46086</v>
      </c>
      <c r="E181" s="1" t="n">
        <v>46221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46221</v>
      </c>
      <c r="F182" t="inlineStr">
        <is>
          <t>VÄSTRA GÖTALANDS LÄN</t>
        </is>
      </c>
      <c r="G182" t="inlineStr">
        <is>
          <t>VÅRGÅRDA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46221</v>
      </c>
      <c r="F183" t="inlineStr">
        <is>
          <t>VÄSTRA GÖTALANDS LÄN</t>
        </is>
      </c>
      <c r="G183" t="inlineStr">
        <is>
          <t>VÅRGÅRDA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59042-2025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46221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12665-2026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46221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Sveaskog</t>
        </is>
      </c>
      <c r="I185" t="n">
        <v>11.4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46221</v>
      </c>
      <c r="F186" t="inlineStr">
        <is>
          <t>VÄSTRA GÖTALANDS LÄN</t>
        </is>
      </c>
      <c r="G186" t="inlineStr">
        <is>
          <t>VÅRGÅRDA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46221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54587-2023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46221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59309-2025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46221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46221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46221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46221</v>
      </c>
      <c r="F192" t="inlineStr">
        <is>
          <t>VÄSTRA GÖTALANDS LÄN</t>
        </is>
      </c>
      <c r="G192" t="inlineStr">
        <is>
          <t>VÅRGÅRDA</t>
        </is>
      </c>
      <c r="H192" t="inlineStr">
        <is>
          <t>Övriga statliga verk och myndigheter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46944-2021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44446</v>
      </c>
      <c r="E193" s="1" t="n">
        <v>46221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60981-2025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46221</v>
      </c>
      <c r="F194" t="inlineStr">
        <is>
          <t>VÄSTRA GÖTALANDS LÄN</t>
        </is>
      </c>
      <c r="G194" t="inlineStr">
        <is>
          <t>VÅRGÅRDA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60975-2025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46221</v>
      </c>
      <c r="F195" t="inlineStr">
        <is>
          <t>VÄSTRA GÖTALANDS LÄN</t>
        </is>
      </c>
      <c r="G195" t="inlineStr">
        <is>
          <t>VÅRGÅRDA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60973-2025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46221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46221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34133-2022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46221</v>
      </c>
      <c r="F198" t="inlineStr">
        <is>
          <t>VÄSTRA GÖTALANDS LÄN</t>
        </is>
      </c>
      <c r="G198" t="inlineStr">
        <is>
          <t>VÅRGÅRDA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57902-2022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46221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16284-2025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46221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45351</v>
      </c>
      <c r="E201" s="1" t="n">
        <v>46221</v>
      </c>
      <c r="F201" t="inlineStr">
        <is>
          <t>VÄSTRA GÖTALANDS LÄN</t>
        </is>
      </c>
      <c r="G201" t="inlineStr">
        <is>
          <t>VÅRGÅRDA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9863-2024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46221</v>
      </c>
      <c r="F202" t="inlineStr">
        <is>
          <t>VÄSTRA GÖTALANDS LÄN</t>
        </is>
      </c>
      <c r="G202" t="inlineStr">
        <is>
          <t>VÅRGÅRDA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14669-2026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46221</v>
      </c>
      <c r="F203" t="inlineStr">
        <is>
          <t>VÄSTRA GÖTALANDS LÄN</t>
        </is>
      </c>
      <c r="G203" t="inlineStr">
        <is>
          <t>VÅRGÅRDA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44950</v>
      </c>
      <c r="E204" s="1" t="n">
        <v>46221</v>
      </c>
      <c r="F204" t="inlineStr">
        <is>
          <t>VÄSTRA GÖTALANDS LÄN</t>
        </is>
      </c>
      <c r="G204" t="inlineStr">
        <is>
          <t>VÅRGÅRDA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45703</v>
      </c>
      <c r="E205" s="1" t="n">
        <v>46221</v>
      </c>
      <c r="F205" t="inlineStr">
        <is>
          <t>VÄSTRA GÖTALANDS LÄN</t>
        </is>
      </c>
      <c r="G205" t="inlineStr">
        <is>
          <t>VÅRGÅRDA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7680-2025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46221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46221</v>
      </c>
      <c r="F207" t="inlineStr">
        <is>
          <t>VÄSTRA GÖTALANDS LÄN</t>
        </is>
      </c>
      <c r="G207" t="inlineStr">
        <is>
          <t>VÅRGÅRDA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64234-2021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44510</v>
      </c>
      <c r="E208" s="1" t="n">
        <v>46221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46032</v>
      </c>
      <c r="E209" s="1" t="n">
        <v>46221</v>
      </c>
      <c r="F209" t="inlineStr">
        <is>
          <t>VÄSTRA GÖTALANDS LÄN</t>
        </is>
      </c>
      <c r="G209" t="inlineStr">
        <is>
          <t>VÅRGÅRDA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11777-2024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45374</v>
      </c>
      <c r="E210" s="1" t="n">
        <v>46221</v>
      </c>
      <c r="F210" t="inlineStr">
        <is>
          <t>VÄSTRA GÖTALANDS LÄN</t>
        </is>
      </c>
      <c r="G210" t="inlineStr">
        <is>
          <t>VÅRGÅRDA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45375</v>
      </c>
      <c r="E211" s="1" t="n">
        <v>46221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46221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46221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46221</v>
      </c>
      <c r="F214" t="inlineStr">
        <is>
          <t>VÄSTRA GÖTALANDS LÄN</t>
        </is>
      </c>
      <c r="G214" t="inlineStr">
        <is>
          <t>VÅRGÅRDA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55630-2025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46221</v>
      </c>
      <c r="F215" t="inlineStr">
        <is>
          <t>VÄSTRA GÖTALANDS LÄN</t>
        </is>
      </c>
      <c r="G215" t="inlineStr">
        <is>
          <t>VÅRGÅRDA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46221</v>
      </c>
      <c r="F216" t="inlineStr">
        <is>
          <t>VÄSTRA GÖTALANDS LÄN</t>
        </is>
      </c>
      <c r="G216" t="inlineStr">
        <is>
          <t>VÅRGÅRDA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64386-2021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46221</v>
      </c>
      <c r="F217" t="inlineStr">
        <is>
          <t>VÄSTRA GÖTALANDS LÄN</t>
        </is>
      </c>
      <c r="G217" t="inlineStr">
        <is>
          <t>VÅRGÅRDA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46221</v>
      </c>
      <c r="F218" t="inlineStr">
        <is>
          <t>VÄSTRA GÖTALANDS LÄN</t>
        </is>
      </c>
      <c r="G218" t="inlineStr">
        <is>
          <t>VÅRGÅRDA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9086-2024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46221</v>
      </c>
      <c r="F219" t="inlineStr">
        <is>
          <t>VÄSTRA GÖTALANDS LÄN</t>
        </is>
      </c>
      <c r="G219" t="inlineStr">
        <is>
          <t>VÅRGÅRDA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9089-2024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46221</v>
      </c>
      <c r="F220" t="inlineStr">
        <is>
          <t>VÄSTRA GÖTALANDS LÄN</t>
        </is>
      </c>
      <c r="G220" t="inlineStr">
        <is>
          <t>VÅRGÅRDA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46221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46221</v>
      </c>
      <c r="F222" t="inlineStr">
        <is>
          <t>VÄSTRA GÖTALANDS LÄN</t>
        </is>
      </c>
      <c r="G222" t="inlineStr">
        <is>
          <t>VÅRGÅRDA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46221</v>
      </c>
      <c r="F223" t="inlineStr">
        <is>
          <t>VÄSTRA GÖTALANDS LÄN</t>
        </is>
      </c>
      <c r="G223" t="inlineStr">
        <is>
          <t>VÅRGÅRDA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46221</v>
      </c>
      <c r="F224" t="inlineStr">
        <is>
          <t>VÄSTRA GÖTALANDS LÄN</t>
        </is>
      </c>
      <c r="G224" t="inlineStr">
        <is>
          <t>VÅRGÅRDA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46221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45062</v>
      </c>
      <c r="E226" s="1" t="n">
        <v>46221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46221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46221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46221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46221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46221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22202-2024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46221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60380-2022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46221</v>
      </c>
      <c r="F233" t="inlineStr">
        <is>
          <t>VÄSTRA GÖTALANDS LÄN</t>
        </is>
      </c>
      <c r="G233" t="inlineStr">
        <is>
          <t>VÅRGÅRDA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17057-2026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46221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17058-2026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46221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45134</v>
      </c>
      <c r="E236" s="1" t="n">
        <v>46221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9642-2025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46221</v>
      </c>
      <c r="F237" t="inlineStr">
        <is>
          <t>VÄSTRA GÖTALANDS LÄN</t>
        </is>
      </c>
      <c r="G237" t="inlineStr">
        <is>
          <t>VÅRGÅRDA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46124</v>
      </c>
      <c r="E238" s="1" t="n">
        <v>46221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46221</v>
      </c>
      <c r="F239" t="inlineStr">
        <is>
          <t>VÄSTRA GÖTALANDS LÄN</t>
        </is>
      </c>
      <c r="G239" t="inlineStr">
        <is>
          <t>VÅRGÅRDA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46221</v>
      </c>
      <c r="F240" t="inlineStr">
        <is>
          <t>VÄSTRA GÖTALANDS LÄN</t>
        </is>
      </c>
      <c r="G240" t="inlineStr">
        <is>
          <t>VÅRGÅRDA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46221</v>
      </c>
      <c r="F241" t="inlineStr">
        <is>
          <t>VÄSTRA GÖTALANDS LÄN</t>
        </is>
      </c>
      <c r="G241" t="inlineStr">
        <is>
          <t>VÅRGÅRDA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18071-2026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46221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46221</v>
      </c>
      <c r="F243" t="inlineStr">
        <is>
          <t>VÄSTRA GÖTALANDS LÄN</t>
        </is>
      </c>
      <c r="G243" t="inlineStr">
        <is>
          <t>VÅRGÅRDA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17972-2023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46221</v>
      </c>
      <c r="F244" t="inlineStr">
        <is>
          <t>VÄSTRA GÖTALANDS LÄN</t>
        </is>
      </c>
      <c r="G244" t="inlineStr">
        <is>
          <t>VÅRGÅRDA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46221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46221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46221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46126</v>
      </c>
      <c r="E248" s="1" t="n">
        <v>46221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46126</v>
      </c>
      <c r="E249" s="1" t="n">
        <v>46221</v>
      </c>
      <c r="F249" t="inlineStr">
        <is>
          <t>VÄSTRA GÖTALANDS LÄN</t>
        </is>
      </c>
      <c r="G249" t="inlineStr">
        <is>
          <t>VÅRGÅRDA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45327</v>
      </c>
      <c r="E250" s="1" t="n">
        <v>46221</v>
      </c>
      <c r="F250" t="inlineStr">
        <is>
          <t>VÄSTRA GÖTALANDS LÄN</t>
        </is>
      </c>
      <c r="G250" t="inlineStr">
        <is>
          <t>VÅRGÅRDA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44668-2023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46221</v>
      </c>
      <c r="F251" t="inlineStr">
        <is>
          <t>VÄSTRA GÖTALANDS LÄN</t>
        </is>
      </c>
      <c r="G251" t="inlineStr">
        <is>
          <t>VÅRGÅRDA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46221</v>
      </c>
      <c r="F252" t="inlineStr">
        <is>
          <t>VÄSTRA GÖTALANDS LÄN</t>
        </is>
      </c>
      <c r="G252" t="inlineStr">
        <is>
          <t>VÅRGÅRDA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46221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19511-2026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46221</v>
      </c>
      <c r="F254" t="inlineStr">
        <is>
          <t>VÄSTRA GÖTALANDS LÄN</t>
        </is>
      </c>
      <c r="G254" t="inlineStr">
        <is>
          <t>VÅRGÅRDA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19293-2026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46221</v>
      </c>
      <c r="F255" t="inlineStr">
        <is>
          <t>VÄSTRA GÖTALANDS LÄN</t>
        </is>
      </c>
      <c r="G255" t="inlineStr">
        <is>
          <t>VÅRGÅRDA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46221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7734-2022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44608</v>
      </c>
      <c r="E257" s="1" t="n">
        <v>46221</v>
      </c>
      <c r="F257" t="inlineStr">
        <is>
          <t>VÄSTRA GÖTALANDS LÄN</t>
        </is>
      </c>
      <c r="G257" t="inlineStr">
        <is>
          <t>VÅRGÅRDA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41590-2025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46221</v>
      </c>
      <c r="F258" t="inlineStr">
        <is>
          <t>VÄSTRA GÖTALANDS LÄN</t>
        </is>
      </c>
      <c r="G258" t="inlineStr">
        <is>
          <t>VÅRGÅRDA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46221</v>
      </c>
      <c r="F259" t="inlineStr">
        <is>
          <t>VÄSTRA GÖTALANDS LÄN</t>
        </is>
      </c>
      <c r="G259" t="inlineStr">
        <is>
          <t>VÅRGÅRDA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59684-2022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46221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61969-2022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46221</v>
      </c>
      <c r="F261" t="inlineStr">
        <is>
          <t>VÄSTRA GÖTALANDS LÄN</t>
        </is>
      </c>
      <c r="G261" t="inlineStr">
        <is>
          <t>VÅRGÅRDA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47583-2024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46221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14655-2022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46221</v>
      </c>
      <c r="F263" t="inlineStr">
        <is>
          <t>VÄSTRA GÖTALANDS LÄN</t>
        </is>
      </c>
      <c r="G263" t="inlineStr">
        <is>
          <t>VÅRGÅRDA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46221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46221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46221</v>
      </c>
      <c r="F266" t="inlineStr">
        <is>
          <t>VÄSTRA GÖTALANDS LÄN</t>
        </is>
      </c>
      <c r="G266" t="inlineStr">
        <is>
          <t>VÅRGÅRDA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8456-2024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45354</v>
      </c>
      <c r="E267" s="1" t="n">
        <v>46221</v>
      </c>
      <c r="F267" t="inlineStr">
        <is>
          <t>VÄSTRA GÖTALANDS LÄN</t>
        </is>
      </c>
      <c r="G267" t="inlineStr">
        <is>
          <t>VÅRGÅRDA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55972-2023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46221</v>
      </c>
      <c r="F268" t="inlineStr">
        <is>
          <t>VÄSTRA GÖTALANDS LÄN</t>
        </is>
      </c>
      <c r="G268" t="inlineStr">
        <is>
          <t>VÅRGÅRDA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46221</v>
      </c>
      <c r="F269" t="inlineStr">
        <is>
          <t>VÄSTRA GÖTALANDS LÄN</t>
        </is>
      </c>
      <c r="G269" t="inlineStr">
        <is>
          <t>VÅRGÅRDA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60589-2023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46221</v>
      </c>
      <c r="F270" t="inlineStr">
        <is>
          <t>VÄSTRA GÖTALANDS LÄN</t>
        </is>
      </c>
      <c r="G270" t="inlineStr">
        <is>
          <t>VÅRGÅRDA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46221</v>
      </c>
      <c r="F271" t="inlineStr">
        <is>
          <t>VÄSTRA GÖTALANDS LÄN</t>
        </is>
      </c>
      <c r="G271" t="inlineStr">
        <is>
          <t>VÅRGÅRDA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46747-2023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46221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46736-2023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46221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17201-2025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46221</v>
      </c>
      <c r="F274" t="inlineStr">
        <is>
          <t>VÄSTRA GÖTALANDS LÄN</t>
        </is>
      </c>
      <c r="G274" t="inlineStr">
        <is>
          <t>VÅRGÅRDA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53213-2024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45612</v>
      </c>
      <c r="E275" s="1" t="n">
        <v>46221</v>
      </c>
      <c r="F275" t="inlineStr">
        <is>
          <t>VÄSTRA GÖTALANDS LÄN</t>
        </is>
      </c>
      <c r="G275" t="inlineStr">
        <is>
          <t>VÅRGÅRDA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45772</v>
      </c>
      <c r="E276" s="1" t="n">
        <v>46221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46221</v>
      </c>
      <c r="F277" t="inlineStr">
        <is>
          <t>VÄSTRA GÖTALANDS LÄN</t>
        </is>
      </c>
      <c r="G277" t="inlineStr">
        <is>
          <t>VÅRGÅRDA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59619-2022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46221</v>
      </c>
      <c r="F278" t="inlineStr">
        <is>
          <t>VÄSTRA GÖTALANDS LÄN</t>
        </is>
      </c>
      <c r="G278" t="inlineStr">
        <is>
          <t>VÅRGÅRDA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46221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Sveaskog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46221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13397-2025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46221</v>
      </c>
      <c r="F281" t="inlineStr">
        <is>
          <t>VÄSTRA GÖTALANDS LÄN</t>
        </is>
      </c>
      <c r="G281" t="inlineStr">
        <is>
          <t>VÅRGÅRDA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17199-2025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46221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46221</v>
      </c>
      <c r="F283" t="inlineStr">
        <is>
          <t>VÄSTRA GÖTALANDS LÄN</t>
        </is>
      </c>
      <c r="G283" t="inlineStr">
        <is>
          <t>VÅRGÅRDA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46221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46221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Sveaskog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16169-2024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46221</v>
      </c>
      <c r="F286" t="inlineStr">
        <is>
          <t>VÄSTRA GÖTALANDS LÄN</t>
        </is>
      </c>
      <c r="G286" t="inlineStr">
        <is>
          <t>VÅRGÅRDA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48595-2021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44452</v>
      </c>
      <c r="E287" s="1" t="n">
        <v>46221</v>
      </c>
      <c r="F287" t="inlineStr">
        <is>
          <t>VÄSTRA GÖTALANDS LÄN</t>
        </is>
      </c>
      <c r="G287" t="inlineStr">
        <is>
          <t>VÅRGÅRDA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28482-2026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46221</v>
      </c>
      <c r="F288" t="inlineStr">
        <is>
          <t>VÄSTRA GÖTALANDS LÄN</t>
        </is>
      </c>
      <c r="G288" t="inlineStr">
        <is>
          <t>VÅRGÅRDA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42359-2023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46221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9749-2023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46221</v>
      </c>
      <c r="F290" t="inlineStr">
        <is>
          <t>VÄSTRA GÖTALANDS LÄN</t>
        </is>
      </c>
      <c r="G290" t="inlineStr">
        <is>
          <t>VÅRGÅRDA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46221</v>
      </c>
      <c r="F291" t="inlineStr">
        <is>
          <t>VÄSTRA GÖTALANDS LÄN</t>
        </is>
      </c>
      <c r="G291" t="inlineStr">
        <is>
          <t>VÅRGÅRDA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29612-2026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46199</v>
      </c>
      <c r="E292" s="1" t="n">
        <v>46221</v>
      </c>
      <c r="F292" t="inlineStr">
        <is>
          <t>VÄSTRA GÖTALANDS LÄN</t>
        </is>
      </c>
      <c r="G292" t="inlineStr">
        <is>
          <t>VÅRGÅRDA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57167-2022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44895</v>
      </c>
      <c r="E293" s="1" t="n">
        <v>46221</v>
      </c>
      <c r="F293" t="inlineStr">
        <is>
          <t>VÄSTRA GÖTALANDS LÄN</t>
        </is>
      </c>
      <c r="G293" t="inlineStr">
        <is>
          <t>VÅRGÅRDA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62148-2022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44922</v>
      </c>
      <c r="E294" s="1" t="n">
        <v>46221</v>
      </c>
      <c r="F294" t="inlineStr">
        <is>
          <t>VÄSTRA GÖTALANDS LÄN</t>
        </is>
      </c>
      <c r="G294" t="inlineStr">
        <is>
          <t>VÅRGÅRDA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29926-2026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46205</v>
      </c>
      <c r="E295" s="1" t="n">
        <v>46221</v>
      </c>
      <c r="F295" t="inlineStr">
        <is>
          <t>VÄSTRA GÖTALANDS LÄN</t>
        </is>
      </c>
      <c r="G295" t="inlineStr">
        <is>
          <t>VÅRGÅRDA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29918-2026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46221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50945-2023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46221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Allmännings- och besparingsskogar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46221</v>
      </c>
      <c r="F298" t="inlineStr">
        <is>
          <t>VÄSTRA GÖTALANDS LÄN</t>
        </is>
      </c>
      <c r="G298" t="inlineStr">
        <is>
          <t>VÅRGÅRDA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46221</v>
      </c>
      <c r="F299" t="inlineStr">
        <is>
          <t>VÄSTRA GÖTALANDS LÄN</t>
        </is>
      </c>
      <c r="G299" t="inlineStr">
        <is>
          <t>VÅRGÅRDA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58049-2023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46221</v>
      </c>
      <c r="F300" t="inlineStr">
        <is>
          <t>VÄSTRA GÖTALANDS LÄN</t>
        </is>
      </c>
      <c r="G300" t="inlineStr">
        <is>
          <t>VÅRGÅRDA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11797-2024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45375</v>
      </c>
      <c r="E301" s="1" t="n">
        <v>46221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54991-2024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45620</v>
      </c>
      <c r="E302" s="1" t="n">
        <v>46221</v>
      </c>
      <c r="F302" t="inlineStr">
        <is>
          <t>VÄSTRA GÖTALANDS LÄN</t>
        </is>
      </c>
      <c r="G302" t="inlineStr">
        <is>
          <t>VÅRGÅRDA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46221</v>
      </c>
      <c r="F303" t="inlineStr">
        <is>
          <t>VÄSTRA GÖTALANDS LÄN</t>
        </is>
      </c>
      <c r="G303" t="inlineStr">
        <is>
          <t>VÅRGÅRDA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46221</v>
      </c>
      <c r="F304" t="inlineStr">
        <is>
          <t>VÄSTRA GÖTALANDS LÄN</t>
        </is>
      </c>
      <c r="G304" t="inlineStr">
        <is>
          <t>VÅRGÅRDA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44431-2023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46221</v>
      </c>
      <c r="F305" t="inlineStr">
        <is>
          <t>VÄSTRA GÖTALANDS LÄN</t>
        </is>
      </c>
      <c r="G305" t="inlineStr">
        <is>
          <t>VÅRGÅRDA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52016-2021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46221</v>
      </c>
      <c r="F306" t="inlineStr">
        <is>
          <t>VÄSTRA GÖTALANDS LÄN</t>
        </is>
      </c>
      <c r="G306" t="inlineStr">
        <is>
          <t>VÅRGÅRDA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46221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46221</v>
      </c>
      <c r="F308" t="inlineStr">
        <is>
          <t>VÄSTRA GÖTALANDS LÄN</t>
        </is>
      </c>
      <c r="G308" t="inlineStr">
        <is>
          <t>VÅRGÅRDA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46221</v>
      </c>
      <c r="F309" t="inlineStr">
        <is>
          <t>VÄSTRA GÖTALANDS LÄN</t>
        </is>
      </c>
      <c r="G309" t="inlineStr">
        <is>
          <t>VÅRGÅRDA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24760-2026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46221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24479-2026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46221</v>
      </c>
      <c r="F311" t="inlineStr">
        <is>
          <t>VÄSTRA GÖTALANDS LÄN</t>
        </is>
      </c>
      <c r="G311" t="inlineStr">
        <is>
          <t>VÅRGÅRDA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55240-2023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45237</v>
      </c>
      <c r="E312" s="1" t="n">
        <v>46221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46221</v>
      </c>
      <c r="F313" t="inlineStr">
        <is>
          <t>VÄSTRA GÖTALANDS LÄN</t>
        </is>
      </c>
      <c r="G313" t="inlineStr">
        <is>
          <t>VÅRGÅRDA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48718-2023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46221</v>
      </c>
      <c r="F314" t="inlineStr">
        <is>
          <t>VÄSTRA GÖTALANDS LÄN</t>
        </is>
      </c>
      <c r="G314" t="inlineStr">
        <is>
          <t>VÅRGÅRDA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46221</v>
      </c>
      <c r="F315" t="inlineStr">
        <is>
          <t>VÄSTRA GÖTALANDS LÄN</t>
        </is>
      </c>
      <c r="G315" t="inlineStr">
        <is>
          <t>VÅRGÅRDA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24611-2023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46221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7047-2023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44968</v>
      </c>
      <c r="E317" s="1" t="n">
        <v>46221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63073-2023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46221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25875-2026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46221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14787-2024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46221</v>
      </c>
      <c r="F320" t="inlineStr">
        <is>
          <t>VÄSTRA GÖTALANDS LÄN</t>
        </is>
      </c>
      <c r="G320" t="inlineStr">
        <is>
          <t>VÅRGÅRDA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14789-2024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46221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26362-2024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46221</v>
      </c>
      <c r="F322" t="inlineStr">
        <is>
          <t>VÄSTRA GÖTALANDS LÄN</t>
        </is>
      </c>
      <c r="G322" t="inlineStr">
        <is>
          <t>VÅRGÅRDA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46221</v>
      </c>
      <c r="F323" t="inlineStr">
        <is>
          <t>VÄSTRA GÖTALANDS LÄN</t>
        </is>
      </c>
      <c r="G323" t="inlineStr">
        <is>
          <t>VÅRGÅRDA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46221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46221</v>
      </c>
      <c r="F325" t="inlineStr">
        <is>
          <t>VÄSTRA GÖTALANDS LÄN</t>
        </is>
      </c>
      <c r="G325" t="inlineStr">
        <is>
          <t>VÅRGÅRDA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46221</v>
      </c>
      <c r="F326" t="inlineStr">
        <is>
          <t>VÄSTRA GÖTALANDS LÄN</t>
        </is>
      </c>
      <c r="G326" t="inlineStr">
        <is>
          <t>VÅRGÅRDA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45782</v>
      </c>
      <c r="E327" s="1" t="n">
        <v>46221</v>
      </c>
      <c r="F327" t="inlineStr">
        <is>
          <t>VÄSTRA GÖTALANDS LÄN</t>
        </is>
      </c>
      <c r="G327" t="inlineStr">
        <is>
          <t>VÅRGÅRDA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23950-2025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46221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45309-2024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45576</v>
      </c>
      <c r="E329" s="1" t="n">
        <v>46221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25324-2025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45800</v>
      </c>
      <c r="E330" s="1" t="n">
        <v>46221</v>
      </c>
      <c r="F330" t="inlineStr">
        <is>
          <t>VÄSTRA GÖTALANDS LÄN</t>
        </is>
      </c>
      <c r="G330" t="inlineStr">
        <is>
          <t>VÅRGÅRDA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25326-2025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45800</v>
      </c>
      <c r="E331" s="1" t="n">
        <v>46221</v>
      </c>
      <c r="F331" t="inlineStr">
        <is>
          <t>VÄSTRA GÖTALANDS LÄN</t>
        </is>
      </c>
      <c r="G331" t="inlineStr">
        <is>
          <t>VÅRGÅRDA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46221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25909-2025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46221</v>
      </c>
      <c r="F333" t="inlineStr">
        <is>
          <t>VÄSTRA GÖTALANDS LÄN</t>
        </is>
      </c>
      <c r="G333" t="inlineStr">
        <is>
          <t>VÅRGÅRDA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46221</v>
      </c>
      <c r="F334" t="inlineStr">
        <is>
          <t>VÄSTRA GÖTALANDS LÄN</t>
        </is>
      </c>
      <c r="G334" t="inlineStr">
        <is>
          <t>VÅRGÅRDA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46221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5908-2021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44440</v>
      </c>
      <c r="E336" s="1" t="n">
        <v>46221</v>
      </c>
      <c r="F336" t="inlineStr">
        <is>
          <t>VÄSTRA GÖTALANDS LÄN</t>
        </is>
      </c>
      <c r="G336" t="inlineStr">
        <is>
          <t>VÅRGÅRDA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5513-2021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44432</v>
      </c>
      <c r="E337" s="1" t="n">
        <v>46221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Allmännings- och besparingsskogar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204-2024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45323</v>
      </c>
      <c r="E338" s="1" t="n">
        <v>46221</v>
      </c>
      <c r="F338" t="inlineStr">
        <is>
          <t>VÄSTRA GÖTALANDS LÄN</t>
        </is>
      </c>
      <c r="G338" t="inlineStr">
        <is>
          <t>VÅRGÅRDA</t>
        </is>
      </c>
      <c r="I338" t="n">
        <v>34.3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234-2024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45317</v>
      </c>
      <c r="E339" s="1" t="n">
        <v>46221</v>
      </c>
      <c r="F339" t="inlineStr">
        <is>
          <t>VÄSTRA GÖTALANDS LÄN</t>
        </is>
      </c>
      <c r="G339" t="inlineStr">
        <is>
          <t>VÅRGÅRDA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506-2024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46221</v>
      </c>
      <c r="F340" t="inlineStr">
        <is>
          <t>VÄSTRA GÖTALANDS LÄN</t>
        </is>
      </c>
      <c r="G340" t="inlineStr">
        <is>
          <t>VÅRGÅRDA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509-2024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45345</v>
      </c>
      <c r="E341" s="1" t="n">
        <v>46221</v>
      </c>
      <c r="F341" t="inlineStr">
        <is>
          <t>VÄSTRA GÖTALANDS LÄN</t>
        </is>
      </c>
      <c r="G341" t="inlineStr">
        <is>
          <t>VÅRGÅRDA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4693-2024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45606</v>
      </c>
      <c r="E342" s="1" t="n">
        <v>46221</v>
      </c>
      <c r="F342" t="inlineStr">
        <is>
          <t>VÄSTRA GÖTALANDS LÄN</t>
        </is>
      </c>
      <c r="G342" t="inlineStr">
        <is>
          <t>VÅRGÅRDA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858-2024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45373</v>
      </c>
      <c r="E343" s="1" t="n">
        <v>46221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17.4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3932-2024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45565</v>
      </c>
      <c r="E344" s="1" t="n">
        <v>46221</v>
      </c>
      <c r="F344" t="inlineStr">
        <is>
          <t>VÄSTRA GÖTALANDS LÄN</t>
        </is>
      </c>
      <c r="G344" t="inlineStr">
        <is>
          <t>VÅRGÅRDA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2696-2024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45482</v>
      </c>
      <c r="E345" s="1" t="n">
        <v>46221</v>
      </c>
      <c r="F345" t="inlineStr">
        <is>
          <t>VÄSTRA GÖTALANDS LÄN</t>
        </is>
      </c>
      <c r="G345" t="inlineStr">
        <is>
          <t>VÅRGÅRDA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275-2024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45323</v>
      </c>
      <c r="E346" s="1" t="n">
        <v>46221</v>
      </c>
      <c r="F346" t="inlineStr">
        <is>
          <t>VÄSTRA GÖTALANDS LÄN</t>
        </is>
      </c>
      <c r="G346" t="inlineStr">
        <is>
          <t>VÅRGÅRDA</t>
        </is>
      </c>
      <c r="I346" t="n">
        <v>27.3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46221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46221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>
      <c r="A349" t="inlineStr">
        <is>
          <t>S 735-2026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46094</v>
      </c>
      <c r="E349" s="1" t="n">
        <v>46221</v>
      </c>
      <c r="F349" t="inlineStr">
        <is>
          <t>VÄSTRA GÖTALANDS LÄN</t>
        </is>
      </c>
      <c r="G349" t="inlineStr">
        <is>
          <t>VÅRGÅRDA</t>
        </is>
      </c>
      <c r="H349" t="inlineStr">
        <is>
          <t>Kyrkan</t>
        </is>
      </c>
      <c r="I349" t="n">
        <v>20.6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2026-07-18T01:21:06Z</dcterms:created>
  <dcterms:modified xmlns:dcterms="http://purl.org/dc/terms/" xmlns:xsi="http://www.w3.org/2001/XMLSchema-instance" xsi:type="dcterms:W3CDTF">2026-07-18T01:21:07Z</dcterms:modified>
</cp:coreProperties>
</file>