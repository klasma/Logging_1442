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46223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s="2" t="inlineStr">
        <is>
          <t>Knärot
Borsttåg
Dunmossa
Motaggsvamp
Mattlummer
Spillkråka
Grönsiska
Vanlig groda
Lopplummer (aggregat)
Revlummer</t>
        </is>
      </c>
      <c r="V2">
        <f>HYPERLINK("https://klasma.github.io/Logging_1442/artfynd/S 1328-2022 artfynd.xlsx", "S 1328-2022")</f>
        <v/>
      </c>
      <c r="W2">
        <f>HYPERLINK("https://klasma.github.io/Logging_1442/kartor/S 1328-2022 karta.png", "S 1328-2022")</f>
        <v/>
      </c>
      <c r="X2">
        <f>HYPERLINK("https://klasma.github.io/Logging_1442/kartor_geotiff/S 1328-2022 georefererad karta.tif", "S 1328-2022")</f>
        <v/>
      </c>
      <c r="Y2">
        <f>HYPERLINK("https://klasma.github.io/Logging_1442/knärot/S 1328-2022 karta knärot.png", "S 1328-2022")</f>
        <v/>
      </c>
      <c r="Z2">
        <f>HYPERLINK("https://klasma.github.io/Logging_1442/klagomål/S 1328-2022 FSC-klagomål.docx", "S 1328-2022")</f>
        <v/>
      </c>
      <c r="AA2">
        <f>HYPERLINK("https://klasma.github.io/Logging_1442/klagomålsmail/S 1328-2022 FSC-klagomål mail.docx", "S 1328-2022")</f>
        <v/>
      </c>
      <c r="AB2">
        <f>HYPERLINK("https://klasma.github.io/Logging_1442/tillsyn/S 1328-2022 tillsynsbegäran.docx", "S 1328-2022")</f>
        <v/>
      </c>
      <c r="AC2">
        <f>HYPERLINK("https://klasma.github.io/Logging_1442/tillsynsmail/S 1328-2022 tillsynsbegäran mail.docx", "S 1328-2022")</f>
        <v/>
      </c>
      <c r="AD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46223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s="2" t="inlineStr">
        <is>
          <t>Ask
Fällmossa</t>
        </is>
      </c>
      <c r="V3">
        <f>HYPERLINK("https://klasma.github.io/Logging_1442/artfynd/A 59440-2023 artfynd.xlsx", "A 59440-2023")</f>
        <v/>
      </c>
      <c r="W3">
        <f>HYPERLINK("https://klasma.github.io/Logging_1442/kartor/A 59440-2023 karta.png", "A 59440-2023")</f>
        <v/>
      </c>
      <c r="X3">
        <f>HYPERLINK("https://klasma.github.io/Logging_1442/kartor_geotiff/A 59440-2023 georefererad karta.tif", "A 59440-2023")</f>
        <v/>
      </c>
      <c r="Z3">
        <f>HYPERLINK("https://klasma.github.io/Logging_1442/klagomål/A 59440-2023 FSC-klagomål.docx", "A 59440-2023")</f>
        <v/>
      </c>
      <c r="AA3">
        <f>HYPERLINK("https://klasma.github.io/Logging_1442/klagomålsmail/A 59440-2023 FSC-klagomål mail.docx", "A 59440-2023")</f>
        <v/>
      </c>
      <c r="AB3">
        <f>HYPERLINK("https://klasma.github.io/Logging_1442/tillsyn/A 59440-2023 tillsynsbegäran.docx", "A 59440-2023")</f>
        <v/>
      </c>
      <c r="AC3">
        <f>HYPERLINK("https://klasma.github.io/Logging_1442/tillsynsmail/A 59440-2023 tillsynsbegäran mail.docx", "A 59440-2023")</f>
        <v/>
      </c>
    </row>
    <row r="4" ht="15" customHeight="1">
      <c r="A4" t="inlineStr">
        <is>
          <t>A 13991-2023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45008</v>
      </c>
      <c r="E4" s="1" t="n">
        <v>46223</v>
      </c>
      <c r="F4" t="inlineStr">
        <is>
          <t>VÄSTRA GÖTALANDS LÄN</t>
        </is>
      </c>
      <c r="G4" t="inlineStr">
        <is>
          <t>VÅRGÅRDA</t>
        </is>
      </c>
      <c r="I4" t="n">
        <v>0.2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s="2" t="inlineStr">
        <is>
          <t>Borsttåg</t>
        </is>
      </c>
      <c r="V4">
        <f>HYPERLINK("https://klasma.github.io/Logging_1442/artfynd/A 13991-2023 artfynd.xlsx", "A 13991-2023")</f>
        <v/>
      </c>
      <c r="W4">
        <f>HYPERLINK("https://klasma.github.io/Logging_1442/kartor/A 13991-2023 karta.png", "A 13991-2023")</f>
        <v/>
      </c>
      <c r="X4">
        <f>HYPERLINK("https://klasma.github.io/Logging_1442/kartor_geotiff/A 13991-2023 georefererad karta.tif", "A 13991-2023")</f>
        <v/>
      </c>
      <c r="Z4">
        <f>HYPERLINK("https://klasma.github.io/Logging_1442/klagomål/A 13991-2023 FSC-klagomål.docx", "A 13991-2023")</f>
        <v/>
      </c>
      <c r="AA4">
        <f>HYPERLINK("https://klasma.github.io/Logging_1442/klagomålsmail/A 13991-2023 FSC-klagomål mail.docx", "A 13991-2023")</f>
        <v/>
      </c>
      <c r="AB4">
        <f>HYPERLINK("https://klasma.github.io/Logging_1442/tillsyn/A 13991-2023 tillsynsbegäran.docx", "A 13991-2023")</f>
        <v/>
      </c>
      <c r="AC4">
        <f>HYPERLINK("https://klasma.github.io/Logging_1442/tillsynsmail/A 13991-2023 tillsynsbegäran mail.docx", "A 13991-2023")</f>
        <v/>
      </c>
    </row>
    <row r="5" ht="15" customHeight="1">
      <c r="A5" t="inlineStr">
        <is>
          <t>A 11214-2023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44992</v>
      </c>
      <c r="E5" s="1" t="n">
        <v>46223</v>
      </c>
      <c r="F5" t="inlineStr">
        <is>
          <t>VÄSTRA GÖTALANDS LÄN</t>
        </is>
      </c>
      <c r="G5" t="inlineStr">
        <is>
          <t>VÅRGÅRDA</t>
        </is>
      </c>
      <c r="I5" t="n">
        <v>1.9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Stare</t>
        </is>
      </c>
      <c r="V5">
        <f>HYPERLINK("https://klasma.github.io/Logging_1442/artfynd/A 11214-2023 artfynd.xlsx", "A 11214-2023")</f>
        <v/>
      </c>
      <c r="W5">
        <f>HYPERLINK("https://klasma.github.io/Logging_1442/kartor/A 11214-2023 karta.png", "A 11214-2023")</f>
        <v/>
      </c>
      <c r="X5">
        <f>HYPERLINK("https://klasma.github.io/Logging_1442/kartor_geotiff/A 11214-2023 georefererad karta.tif", "A 11214-2023")</f>
        <v/>
      </c>
      <c r="Z5">
        <f>HYPERLINK("https://klasma.github.io/Logging_1442/klagomål/A 11214-2023 FSC-klagomål.docx", "A 11214-2023")</f>
        <v/>
      </c>
      <c r="AA5">
        <f>HYPERLINK("https://klasma.github.io/Logging_1442/klagomålsmail/A 11214-2023 FSC-klagomål mail.docx", "A 11214-2023")</f>
        <v/>
      </c>
      <c r="AB5">
        <f>HYPERLINK("https://klasma.github.io/Logging_1442/tillsyn/A 11214-2023 tillsynsbegäran.docx", "A 11214-2023")</f>
        <v/>
      </c>
      <c r="AC5">
        <f>HYPERLINK("https://klasma.github.io/Logging_1442/tillsynsmail/A 11214-2023 tillsynsbegäran mail.docx", "A 11214-2023")</f>
        <v/>
      </c>
      <c r="AD5">
        <f>HYPERLINK("https://klasma.github.io/Logging_1442/fåglar/A 11214-2023 prioriterade fågelarter.docx", "A 11214-2023")</f>
        <v/>
      </c>
    </row>
    <row r="6" ht="15" customHeight="1">
      <c r="A6" t="inlineStr">
        <is>
          <t>A 43593-2025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45911</v>
      </c>
      <c r="E6" s="1" t="n">
        <v>46223</v>
      </c>
      <c r="F6" t="inlineStr">
        <is>
          <t>VÄSTRA GÖTALANDS LÄN</t>
        </is>
      </c>
      <c r="G6" t="inlineStr">
        <is>
          <t>VÅRGÅRDA</t>
        </is>
      </c>
      <c r="I6" t="n">
        <v>1.6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Trana</t>
        </is>
      </c>
      <c r="V6">
        <f>HYPERLINK("https://klasma.github.io/Logging_1442/artfynd/A 43593-2025 artfynd.xlsx", "A 43593-2025")</f>
        <v/>
      </c>
      <c r="W6">
        <f>HYPERLINK("https://klasma.github.io/Logging_1442/kartor/A 43593-2025 karta.png", "A 43593-2025")</f>
        <v/>
      </c>
      <c r="X6">
        <f>HYPERLINK("https://klasma.github.io/Logging_1442/kartor_geotiff/A 43593-2025 georefererad karta.tif", "A 43593-2025")</f>
        <v/>
      </c>
      <c r="Z6">
        <f>HYPERLINK("https://klasma.github.io/Logging_1442/klagomål/A 43593-2025 FSC-klagomål.docx", "A 43593-2025")</f>
        <v/>
      </c>
      <c r="AA6">
        <f>HYPERLINK("https://klasma.github.io/Logging_1442/klagomålsmail/A 43593-2025 FSC-klagomål mail.docx", "A 43593-2025")</f>
        <v/>
      </c>
      <c r="AB6">
        <f>HYPERLINK("https://klasma.github.io/Logging_1442/tillsyn/A 43593-2025 tillsynsbegäran.docx", "A 43593-2025")</f>
        <v/>
      </c>
      <c r="AC6">
        <f>HYPERLINK("https://klasma.github.io/Logging_1442/tillsynsmail/A 43593-2025 tillsynsbegäran mail.docx", "A 43593-2025")</f>
        <v/>
      </c>
      <c r="AD6">
        <f>HYPERLINK("https://klasma.github.io/Logging_1442/fåglar/A 43593-2025 prioriterade fågelarter.docx", "A 43593-2025")</f>
        <v/>
      </c>
    </row>
    <row r="7" ht="15" customHeight="1">
      <c r="A7" t="inlineStr">
        <is>
          <t>A 48760-2025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46223</v>
      </c>
      <c r="F7" t="inlineStr">
        <is>
          <t>VÄSTRA GÖTALANDS LÄN</t>
        </is>
      </c>
      <c r="G7" t="inlineStr">
        <is>
          <t>VÅRGÅRDA</t>
        </is>
      </c>
      <c r="I7" t="n">
        <v>1.2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Slåttergubbe</t>
        </is>
      </c>
      <c r="V7">
        <f>HYPERLINK("https://klasma.github.io/Logging_1442/artfynd/A 48760-2025 artfynd.xlsx", "A 48760-2025")</f>
        <v/>
      </c>
      <c r="W7">
        <f>HYPERLINK("https://klasma.github.io/Logging_1442/kartor/A 48760-2025 karta.png", "A 48760-2025")</f>
        <v/>
      </c>
      <c r="X7">
        <f>HYPERLINK("https://klasma.github.io/Logging_1442/kartor_geotiff/A 48760-2025 georefererad karta.tif", "A 48760-2025")</f>
        <v/>
      </c>
      <c r="Z7">
        <f>HYPERLINK("https://klasma.github.io/Logging_1442/klagomål/A 48760-2025 FSC-klagomål.docx", "A 48760-2025")</f>
        <v/>
      </c>
      <c r="AA7">
        <f>HYPERLINK("https://klasma.github.io/Logging_1442/klagomålsmail/A 48760-2025 FSC-klagomål mail.docx", "A 48760-2025")</f>
        <v/>
      </c>
      <c r="AB7">
        <f>HYPERLINK("https://klasma.github.io/Logging_1442/tillsyn/A 48760-2025 tillsynsbegäran.docx", "A 48760-2025")</f>
        <v/>
      </c>
      <c r="AC7">
        <f>HYPERLINK("https://klasma.github.io/Logging_1442/tillsynsmail/A 48760-2025 tillsynsbegäran mail.docx", "A 48760-2025")</f>
        <v/>
      </c>
    </row>
    <row r="8" ht="15" customHeight="1">
      <c r="A8" t="inlineStr">
        <is>
          <t>A 48955-2025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46223</v>
      </c>
      <c r="F8" t="inlineStr">
        <is>
          <t>VÄSTRA GÖTALANDS LÄN</t>
        </is>
      </c>
      <c r="G8" t="inlineStr">
        <is>
          <t>VÅRGÅRDA</t>
        </is>
      </c>
      <c r="I8" t="n">
        <v>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s="2" t="inlineStr">
        <is>
          <t>Älg</t>
        </is>
      </c>
      <c r="V8">
        <f>HYPERLINK("https://klasma.github.io/Logging_1442/artfynd/A 48955-2025 artfynd.xlsx", "A 48955-2025")</f>
        <v/>
      </c>
      <c r="W8">
        <f>HYPERLINK("https://klasma.github.io/Logging_1442/kartor/A 48955-2025 karta.png", "A 48955-2025")</f>
        <v/>
      </c>
      <c r="X8">
        <f>HYPERLINK("https://klasma.github.io/Logging_1442/kartor_geotiff/A 48955-2025 georefererad karta.tif", "A 48955-2025")</f>
        <v/>
      </c>
      <c r="Z8">
        <f>HYPERLINK("https://klasma.github.io/Logging_1442/klagomål/A 48955-2025 FSC-klagomål.docx", "A 48955-2025")</f>
        <v/>
      </c>
      <c r="AA8">
        <f>HYPERLINK("https://klasma.github.io/Logging_1442/klagomålsmail/A 48955-2025 FSC-klagomål mail.docx", "A 48955-2025")</f>
        <v/>
      </c>
      <c r="AB8">
        <f>HYPERLINK("https://klasma.github.io/Logging_1442/tillsyn/A 48955-2025 tillsynsbegäran.docx", "A 48955-2025")</f>
        <v/>
      </c>
      <c r="AC8">
        <f>HYPERLINK("https://klasma.github.io/Logging_1442/tillsynsmail/A 48955-2025 tillsynsbegäran mail.docx", "A 48955-2025")</f>
        <v/>
      </c>
    </row>
    <row r="9" ht="15" customHeight="1">
      <c r="A9" t="inlineStr">
        <is>
          <t>A 7533-2026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46059</v>
      </c>
      <c r="E9" s="1" t="n">
        <v>46223</v>
      </c>
      <c r="F9" t="inlineStr">
        <is>
          <t>VÄSTRA GÖTALANDS LÄN</t>
        </is>
      </c>
      <c r="G9" t="inlineStr">
        <is>
          <t>VÅRGÅRDA</t>
        </is>
      </c>
      <c r="I9" t="n">
        <v>4.7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s="2" t="inlineStr">
        <is>
          <t>Slåttergubbe</t>
        </is>
      </c>
      <c r="V9">
        <f>HYPERLINK("https://klasma.github.io/Logging_1442/artfynd/A 7533-2026 artfynd.xlsx", "A 7533-2026")</f>
        <v/>
      </c>
      <c r="W9">
        <f>HYPERLINK("https://klasma.github.io/Logging_1442/kartor/A 7533-2026 karta.png", "A 7533-2026")</f>
        <v/>
      </c>
      <c r="X9">
        <f>HYPERLINK("https://klasma.github.io/Logging_1442/kartor_geotiff/A 7533-2026 georefererad karta.tif", "A 7533-2026")</f>
        <v/>
      </c>
      <c r="Z9">
        <f>HYPERLINK("https://klasma.github.io/Logging_1442/klagomål/A 7533-2026 FSC-klagomål.docx", "A 7533-2026")</f>
        <v/>
      </c>
      <c r="AA9">
        <f>HYPERLINK("https://klasma.github.io/Logging_1442/klagomålsmail/A 7533-2026 FSC-klagomål mail.docx", "A 7533-2026")</f>
        <v/>
      </c>
      <c r="AB9">
        <f>HYPERLINK("https://klasma.github.io/Logging_1442/tillsyn/A 7533-2026 tillsynsbegäran.docx", "A 7533-2026")</f>
        <v/>
      </c>
      <c r="AC9">
        <f>HYPERLINK("https://klasma.github.io/Logging_1442/tillsynsmail/A 7533-2026 tillsynsbegäran mail.docx", "A 7533-2026")</f>
        <v/>
      </c>
    </row>
    <row r="10" ht="15" customHeight="1">
      <c r="A10" t="inlineStr">
        <is>
          <t>A 8657-2026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46066</v>
      </c>
      <c r="E10" s="1" t="n">
        <v>46223</v>
      </c>
      <c r="F10" t="inlineStr">
        <is>
          <t>VÄSTRA GÖTALANDS LÄN</t>
        </is>
      </c>
      <c r="G10" t="inlineStr">
        <is>
          <t>VÅRGÅRDA</t>
        </is>
      </c>
      <c r="I10" t="n">
        <v>10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Blomkålssvamp</t>
        </is>
      </c>
      <c r="V10">
        <f>HYPERLINK("https://klasma.github.io/Logging_1442/artfynd/A 8657-2026 artfynd.xlsx", "A 8657-2026")</f>
        <v/>
      </c>
      <c r="W10">
        <f>HYPERLINK("https://klasma.github.io/Logging_1442/kartor/A 8657-2026 karta.png", "A 8657-2026")</f>
        <v/>
      </c>
      <c r="X10">
        <f>HYPERLINK("https://klasma.github.io/Logging_1442/kartor_geotiff/A 8657-2026 georefererad karta.tif", "A 8657-2026")</f>
        <v/>
      </c>
      <c r="Z10">
        <f>HYPERLINK("https://klasma.github.io/Logging_1442/klagomål/A 8657-2026 FSC-klagomål.docx", "A 8657-2026")</f>
        <v/>
      </c>
      <c r="AA10">
        <f>HYPERLINK("https://klasma.github.io/Logging_1442/klagomålsmail/A 8657-2026 FSC-klagomål mail.docx", "A 8657-2026")</f>
        <v/>
      </c>
      <c r="AB10">
        <f>HYPERLINK("https://klasma.github.io/Logging_1442/tillsyn/A 8657-2026 tillsynsbegäran.docx", "A 8657-2026")</f>
        <v/>
      </c>
      <c r="AC10">
        <f>HYPERLINK("https://klasma.github.io/Logging_1442/tillsynsmail/A 8657-2026 tillsynsbegäran mail.docx", "A 8657-2026")</f>
        <v/>
      </c>
    </row>
    <row r="11" ht="15" customHeight="1">
      <c r="A11" t="inlineStr">
        <is>
          <t>A 17527-2025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46223</v>
      </c>
      <c r="F11" t="inlineStr">
        <is>
          <t>VÄSTRA GÖTALANDS LÄN</t>
        </is>
      </c>
      <c r="G11" t="inlineStr">
        <is>
          <t>VÅRGÅRDA</t>
        </is>
      </c>
      <c r="I11" t="n">
        <v>3.1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Granspira</t>
        </is>
      </c>
      <c r="V11">
        <f>HYPERLINK("https://klasma.github.io/Logging_1442/artfynd/A 17527-2025 artfynd.xlsx", "A 17527-2025")</f>
        <v/>
      </c>
      <c r="W11">
        <f>HYPERLINK("https://klasma.github.io/Logging_1442/kartor/A 17527-2025 karta.png", "A 17527-2025")</f>
        <v/>
      </c>
      <c r="X11">
        <f>HYPERLINK("https://klasma.github.io/Logging_1442/kartor_geotiff/A 17527-2025 georefererad karta.tif", "A 17527-2025")</f>
        <v/>
      </c>
      <c r="Z11">
        <f>HYPERLINK("https://klasma.github.io/Logging_1442/klagomål/A 17527-2025 FSC-klagomål.docx", "A 17527-2025")</f>
        <v/>
      </c>
      <c r="AA11">
        <f>HYPERLINK("https://klasma.github.io/Logging_1442/klagomålsmail/A 17527-2025 FSC-klagomål mail.docx", "A 17527-2025")</f>
        <v/>
      </c>
      <c r="AB11">
        <f>HYPERLINK("https://klasma.github.io/Logging_1442/tillsyn/A 17527-2025 tillsynsbegäran.docx", "A 17527-2025")</f>
        <v/>
      </c>
      <c r="AC11">
        <f>HYPERLINK("https://klasma.github.io/Logging_1442/tillsynsmail/A 17527-2025 tillsynsbegäran mail.docx", "A 17527-2025")</f>
        <v/>
      </c>
    </row>
    <row r="12" ht="15" customHeight="1">
      <c r="A12" t="inlineStr">
        <is>
          <t>A 47506-2023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45203</v>
      </c>
      <c r="E12" s="1" t="n">
        <v>46223</v>
      </c>
      <c r="F12" t="inlineStr">
        <is>
          <t>VÄSTRA GÖTALANDS LÄN</t>
        </is>
      </c>
      <c r="G12" t="inlineStr">
        <is>
          <t>VÅRGÅRDA</t>
        </is>
      </c>
      <c r="I12" t="n">
        <v>1.4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Revlummer</t>
        </is>
      </c>
      <c r="V12">
        <f>HYPERLINK("https://klasma.github.io/Logging_1442/artfynd/A 47506-2023 artfynd.xlsx", "A 47506-2023")</f>
        <v/>
      </c>
      <c r="W12">
        <f>HYPERLINK("https://klasma.github.io/Logging_1442/kartor/A 47506-2023 karta.png", "A 47506-2023")</f>
        <v/>
      </c>
      <c r="X12">
        <f>HYPERLINK("https://klasma.github.io/Logging_1442/kartor_geotiff/A 47506-2023 georefererad karta.tif", "A 47506-2023")</f>
        <v/>
      </c>
      <c r="Z12">
        <f>HYPERLINK("https://klasma.github.io/Logging_1442/klagomål/A 47506-2023 FSC-klagomål.docx", "A 47506-2023")</f>
        <v/>
      </c>
      <c r="AA12">
        <f>HYPERLINK("https://klasma.github.io/Logging_1442/klagomålsmail/A 47506-2023 FSC-klagomål mail.docx", "A 47506-2023")</f>
        <v/>
      </c>
      <c r="AB12">
        <f>HYPERLINK("https://klasma.github.io/Logging_1442/tillsyn/A 47506-2023 tillsynsbegäran.docx", "A 47506-2023")</f>
        <v/>
      </c>
      <c r="AC12">
        <f>HYPERLINK("https://klasma.github.io/Logging_1442/tillsynsmail/A 47506-2023 tillsynsbegäran mail.docx", "A 47506-2023")</f>
        <v/>
      </c>
    </row>
    <row r="13" ht="15" customHeight="1">
      <c r="A13" t="inlineStr">
        <is>
          <t>A 59508-2025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45989</v>
      </c>
      <c r="E13" s="1" t="n">
        <v>46223</v>
      </c>
      <c r="F13" t="inlineStr">
        <is>
          <t>VÄSTRA GÖTALANDS LÄN</t>
        </is>
      </c>
      <c r="G13" t="inlineStr">
        <is>
          <t>VÅRGÅRDA</t>
        </is>
      </c>
      <c r="H13" t="inlineStr">
        <is>
          <t>Kyrkan</t>
        </is>
      </c>
      <c r="I13" t="n">
        <v>4.2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Jungfrulin</t>
        </is>
      </c>
      <c r="V13">
        <f>HYPERLINK("https://klasma.github.io/Logging_1442/artfynd/A 59508-2025 artfynd.xlsx", "A 59508-2025")</f>
        <v/>
      </c>
      <c r="W13">
        <f>HYPERLINK("https://klasma.github.io/Logging_1442/kartor/A 59508-2025 karta.png", "A 59508-2025")</f>
        <v/>
      </c>
      <c r="X13">
        <f>HYPERLINK("https://klasma.github.io/Logging_1442/kartor_geotiff/A 59508-2025 georefererad karta.tif", "A 59508-2025")</f>
        <v/>
      </c>
      <c r="Z13">
        <f>HYPERLINK("https://klasma.github.io/Logging_1442/klagomål/A 59508-2025 FSC-klagomål.docx", "A 59508-2025")</f>
        <v/>
      </c>
      <c r="AA13">
        <f>HYPERLINK("https://klasma.github.io/Logging_1442/klagomålsmail/A 59508-2025 FSC-klagomål mail.docx", "A 59508-2025")</f>
        <v/>
      </c>
      <c r="AB13">
        <f>HYPERLINK("https://klasma.github.io/Logging_1442/tillsyn/A 59508-2025 tillsynsbegäran.docx", "A 59508-2025")</f>
        <v/>
      </c>
      <c r="AC13">
        <f>HYPERLINK("https://klasma.github.io/Logging_1442/tillsynsmail/A 59508-2025 tillsynsbegäran mail.docx", "A 59508-2025")</f>
        <v/>
      </c>
    </row>
    <row r="14" ht="15" customHeight="1">
      <c r="A14" t="inlineStr">
        <is>
          <t>A 16587-2025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45752</v>
      </c>
      <c r="E14" s="1" t="n">
        <v>46223</v>
      </c>
      <c r="F14" t="inlineStr">
        <is>
          <t>VÄSTRA GÖTALANDS LÄN</t>
        </is>
      </c>
      <c r="G14" t="inlineStr">
        <is>
          <t>VÅRGÅRDA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Granspira</t>
        </is>
      </c>
      <c r="V14">
        <f>HYPERLINK("https://klasma.github.io/Logging_1442/artfynd/A 16587-2025 artfynd.xlsx", "A 16587-2025")</f>
        <v/>
      </c>
      <c r="W14">
        <f>HYPERLINK("https://klasma.github.io/Logging_1442/kartor/A 16587-2025 karta.png", "A 16587-2025")</f>
        <v/>
      </c>
      <c r="X14">
        <f>HYPERLINK("https://klasma.github.io/Logging_1442/kartor_geotiff/A 16587-2025 georefererad karta.tif", "A 16587-2025")</f>
        <v/>
      </c>
      <c r="Z14">
        <f>HYPERLINK("https://klasma.github.io/Logging_1442/klagomål/A 16587-2025 FSC-klagomål.docx", "A 16587-2025")</f>
        <v/>
      </c>
      <c r="AA14">
        <f>HYPERLINK("https://klasma.github.io/Logging_1442/klagomålsmail/A 16587-2025 FSC-klagomål mail.docx", "A 16587-2025")</f>
        <v/>
      </c>
      <c r="AB14">
        <f>HYPERLINK("https://klasma.github.io/Logging_1442/tillsyn/A 16587-2025 tillsynsbegäran.docx", "A 16587-2025")</f>
        <v/>
      </c>
      <c r="AC14">
        <f>HYPERLINK("https://klasma.github.io/Logging_1442/tillsynsmail/A 16587-2025 tillsynsbegäran mail.docx", "A 16587-2025")</f>
        <v/>
      </c>
    </row>
    <row r="15" ht="15" customHeight="1">
      <c r="A15" t="inlineStr">
        <is>
          <t>A 2412-2026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46036</v>
      </c>
      <c r="E15" s="1" t="n">
        <v>46223</v>
      </c>
      <c r="F15" t="inlineStr">
        <is>
          <t>VÄSTRA GÖTALANDS LÄN</t>
        </is>
      </c>
      <c r="G15" t="inlineStr">
        <is>
          <t>VÅRGÅRDA</t>
        </is>
      </c>
      <c r="I15" t="n">
        <v>4.4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Svinrot</t>
        </is>
      </c>
      <c r="V15">
        <f>HYPERLINK("https://klasma.github.io/Logging_1442/artfynd/A 2412-2026 artfynd.xlsx", "A 2412-2026")</f>
        <v/>
      </c>
      <c r="W15">
        <f>HYPERLINK("https://klasma.github.io/Logging_1442/kartor/A 2412-2026 karta.png", "A 2412-2026")</f>
        <v/>
      </c>
      <c r="X15">
        <f>HYPERLINK("https://klasma.github.io/Logging_1442/kartor_geotiff/A 2412-2026 georefererad karta.tif", "A 2412-2026")</f>
        <v/>
      </c>
      <c r="Z15">
        <f>HYPERLINK("https://klasma.github.io/Logging_1442/klagomål/A 2412-2026 FSC-klagomål.docx", "A 2412-2026")</f>
        <v/>
      </c>
      <c r="AA15">
        <f>HYPERLINK("https://klasma.github.io/Logging_1442/klagomålsmail/A 2412-2026 FSC-klagomål mail.docx", "A 2412-2026")</f>
        <v/>
      </c>
      <c r="AB15">
        <f>HYPERLINK("https://klasma.github.io/Logging_1442/tillsyn/A 2412-2026 tillsynsbegäran.docx", "A 2412-2026")</f>
        <v/>
      </c>
      <c r="AC15">
        <f>HYPERLINK("https://klasma.github.io/Logging_1442/tillsynsmail/A 2412-2026 tillsynsbegäran mail.docx", "A 2412-2026")</f>
        <v/>
      </c>
    </row>
    <row r="16" ht="15" customHeight="1">
      <c r="A16" t="inlineStr">
        <is>
          <t>A 16912-2025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45755</v>
      </c>
      <c r="E16" s="1" t="n">
        <v>46223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Granspira</t>
        </is>
      </c>
      <c r="V16">
        <f>HYPERLINK("https://klasma.github.io/Logging_1442/artfynd/A 16912-2025 artfynd.xlsx", "A 16912-2025")</f>
        <v/>
      </c>
      <c r="W16">
        <f>HYPERLINK("https://klasma.github.io/Logging_1442/kartor/A 16912-2025 karta.png", "A 16912-2025")</f>
        <v/>
      </c>
      <c r="X16">
        <f>HYPERLINK("https://klasma.github.io/Logging_1442/kartor_geotiff/A 16912-2025 georefererad karta.tif", "A 16912-2025")</f>
        <v/>
      </c>
      <c r="Z16">
        <f>HYPERLINK("https://klasma.github.io/Logging_1442/klagomål/A 16912-2025 FSC-klagomål.docx", "A 16912-2025")</f>
        <v/>
      </c>
      <c r="AA16">
        <f>HYPERLINK("https://klasma.github.io/Logging_1442/klagomålsmail/A 16912-2025 FSC-klagomål mail.docx", "A 16912-2025")</f>
        <v/>
      </c>
      <c r="AB16">
        <f>HYPERLINK("https://klasma.github.io/Logging_1442/tillsyn/A 16912-2025 tillsynsbegäran.docx", "A 16912-2025")</f>
        <v/>
      </c>
      <c r="AC16">
        <f>HYPERLINK("https://klasma.github.io/Logging_1442/tillsynsmail/A 16912-2025 tillsynsbegäran mail.docx", "A 16912-2025")</f>
        <v/>
      </c>
    </row>
    <row r="17" ht="15" customHeight="1">
      <c r="A17" t="inlineStr">
        <is>
          <t>A 16590-2025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45752</v>
      </c>
      <c r="E17" s="1" t="n">
        <v>46223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Granspira</t>
        </is>
      </c>
      <c r="V17">
        <f>HYPERLINK("https://klasma.github.io/Logging_1442/artfynd/A 16590-2025 artfynd.xlsx", "A 16590-2025")</f>
        <v/>
      </c>
      <c r="W17">
        <f>HYPERLINK("https://klasma.github.io/Logging_1442/kartor/A 16590-2025 karta.png", "A 16590-2025")</f>
        <v/>
      </c>
      <c r="X17">
        <f>HYPERLINK("https://klasma.github.io/Logging_1442/kartor_geotiff/A 16590-2025 georefererad karta.tif", "A 16590-2025")</f>
        <v/>
      </c>
      <c r="Z17">
        <f>HYPERLINK("https://klasma.github.io/Logging_1442/klagomål/A 16590-2025 FSC-klagomål.docx", "A 16590-2025")</f>
        <v/>
      </c>
      <c r="AA17">
        <f>HYPERLINK("https://klasma.github.io/Logging_1442/klagomålsmail/A 16590-2025 FSC-klagomål mail.docx", "A 16590-2025")</f>
        <v/>
      </c>
      <c r="AB17">
        <f>HYPERLINK("https://klasma.github.io/Logging_1442/tillsyn/A 16590-2025 tillsynsbegäran.docx", "A 16590-2025")</f>
        <v/>
      </c>
      <c r="AC17">
        <f>HYPERLINK("https://klasma.github.io/Logging_1442/tillsynsmail/A 16590-2025 tillsynsbegäran mail.docx", "A 16590-2025")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46223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Tibast</t>
        </is>
      </c>
      <c r="V18">
        <f>HYPERLINK("https://klasma.github.io/Logging_1442/artfynd/S 859-2024 artfynd.xlsx", "S 859-2024")</f>
        <v/>
      </c>
      <c r="W18">
        <f>HYPERLINK("https://klasma.github.io/Logging_1442/kartor/S 859-2024 karta.png", "S 859-2024")</f>
        <v/>
      </c>
      <c r="X18">
        <f>HYPERLINK("https://klasma.github.io/Logging_1442/kartor_geotiff/S 859-2024 georefererad karta.tif", "S 859-2024")</f>
        <v/>
      </c>
      <c r="Z18">
        <f>HYPERLINK("https://klasma.github.io/Logging_1442/klagomål/S 859-2024 FSC-klagomål.docx", "S 859-2024")</f>
        <v/>
      </c>
      <c r="AA18">
        <f>HYPERLINK("https://klasma.github.io/Logging_1442/klagomålsmail/S 859-2024 FSC-klagomål mail.docx", "S 859-2024")</f>
        <v/>
      </c>
      <c r="AB18">
        <f>HYPERLINK("https://klasma.github.io/Logging_1442/tillsyn/S 859-2024 tillsynsbegäran.docx", "S 859-2024")</f>
        <v/>
      </c>
      <c r="AC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46223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46223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46223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46223</v>
      </c>
      <c r="F22" t="inlineStr">
        <is>
          <t>VÄSTRA GÖTALANDS LÄN</t>
        </is>
      </c>
      <c r="G22" t="inlineStr">
        <is>
          <t>VÅRGÅRDA</t>
        </is>
      </c>
      <c r="I22" t="n">
        <v>8.5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46432-2021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46223</v>
      </c>
      <c r="F23" t="inlineStr">
        <is>
          <t>VÄSTRA GÖTALANDS LÄN</t>
        </is>
      </c>
      <c r="G23" t="inlineStr">
        <is>
          <t>VÅRGÅRDA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46223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46223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46223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46223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46223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46223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46223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46223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46223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46223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46223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46223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47024-2021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44446</v>
      </c>
      <c r="E36" s="1" t="n">
        <v>46223</v>
      </c>
      <c r="F36" t="inlineStr">
        <is>
          <t>VÄSTRA GÖTALANDS LÄN</t>
        </is>
      </c>
      <c r="G36" t="inlineStr">
        <is>
          <t>VÅRGÅRDA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46223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46223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46223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46223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44001-2021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44434</v>
      </c>
      <c r="E41" s="1" t="n">
        <v>46223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52359-2021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44465</v>
      </c>
      <c r="E42" s="1" t="n">
        <v>46223</v>
      </c>
      <c r="F42" t="inlineStr">
        <is>
          <t>VÄSTRA GÖTALANDS LÄN</t>
        </is>
      </c>
      <c r="G42" t="inlineStr">
        <is>
          <t>VÅRGÅRDA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53650-2021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44469</v>
      </c>
      <c r="E43" s="1" t="n">
        <v>46223</v>
      </c>
      <c r="F43" t="inlineStr">
        <is>
          <t>VÄSTRA GÖTALANDS LÄN</t>
        </is>
      </c>
      <c r="G43" t="inlineStr">
        <is>
          <t>VÅRGÅRDA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62124-2021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44501</v>
      </c>
      <c r="E44" s="1" t="n">
        <v>46223</v>
      </c>
      <c r="F44" t="inlineStr">
        <is>
          <t>VÄSTRA GÖTALANDS LÄN</t>
        </is>
      </c>
      <c r="G44" t="inlineStr">
        <is>
          <t>VÅRGÅRDA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1367-2022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44573</v>
      </c>
      <c r="E45" s="1" t="n">
        <v>46223</v>
      </c>
      <c r="F45" t="inlineStr">
        <is>
          <t>VÄSTRA GÖTALANDS LÄN</t>
        </is>
      </c>
      <c r="G45" t="inlineStr">
        <is>
          <t>VÅRGÅRDA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41497-2022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44826</v>
      </c>
      <c r="E46" s="1" t="n">
        <v>46223</v>
      </c>
      <c r="F46" t="inlineStr">
        <is>
          <t>VÄSTRA GÖTALANDS LÄN</t>
        </is>
      </c>
      <c r="G46" t="inlineStr">
        <is>
          <t>VÅRGÅRDA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15548-2022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44662</v>
      </c>
      <c r="E47" s="1" t="n">
        <v>46223</v>
      </c>
      <c r="F47" t="inlineStr">
        <is>
          <t>VÄSTRA GÖTALANDS LÄN</t>
        </is>
      </c>
      <c r="G47" t="inlineStr">
        <is>
          <t>VÅRGÅRDA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13506-2022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44648</v>
      </c>
      <c r="E48" s="1" t="n">
        <v>46223</v>
      </c>
      <c r="F48" t="inlineStr">
        <is>
          <t>VÄSTRA GÖTALANDS LÄN</t>
        </is>
      </c>
      <c r="G48" t="inlineStr">
        <is>
          <t>VÅRGÅRDA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65303-2021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46223</v>
      </c>
      <c r="F49" t="inlineStr">
        <is>
          <t>VÄSTRA GÖTALANDS LÄN</t>
        </is>
      </c>
      <c r="G49" t="inlineStr">
        <is>
          <t>VÅRGÅRDA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56788-2024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45628</v>
      </c>
      <c r="E50" s="1" t="n">
        <v>46223</v>
      </c>
      <c r="F50" t="inlineStr">
        <is>
          <t>VÄSTRA GÖTALANDS LÄN</t>
        </is>
      </c>
      <c r="G50" t="inlineStr">
        <is>
          <t>VÅRGÅRDA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20806-2023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45058</v>
      </c>
      <c r="E51" s="1" t="n">
        <v>46223</v>
      </c>
      <c r="F51" t="inlineStr">
        <is>
          <t>VÄSTRA GÖTALANDS LÄN</t>
        </is>
      </c>
      <c r="G51" t="inlineStr">
        <is>
          <t>VÅRGÅRDA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26526-2022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46223</v>
      </c>
      <c r="F52" t="inlineStr">
        <is>
          <t>VÄSTRA GÖTALANDS LÄN</t>
        </is>
      </c>
      <c r="G52" t="inlineStr">
        <is>
          <t>VÅRGÅRDA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11793-2024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45375</v>
      </c>
      <c r="E53" s="1" t="n">
        <v>46223</v>
      </c>
      <c r="F53" t="inlineStr">
        <is>
          <t>VÄSTRA GÖTALANDS LÄN</t>
        </is>
      </c>
      <c r="G53" t="inlineStr">
        <is>
          <t>VÅRGÅRDA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29092-2023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45105</v>
      </c>
      <c r="E54" s="1" t="n">
        <v>46223</v>
      </c>
      <c r="F54" t="inlineStr">
        <is>
          <t>VÄSTRA GÖTALANDS LÄN</t>
        </is>
      </c>
      <c r="G54" t="inlineStr">
        <is>
          <t>VÅRGÅRDA</t>
        </is>
      </c>
      <c r="H54" t="inlineStr">
        <is>
          <t>Kommuner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57921-2022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44900</v>
      </c>
      <c r="E55" s="1" t="n">
        <v>46223</v>
      </c>
      <c r="F55" t="inlineStr">
        <is>
          <t>VÄSTRA GÖTALANDS LÄN</t>
        </is>
      </c>
      <c r="G55" t="inlineStr">
        <is>
          <t>VÅRGÅRDA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5152-2024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45330</v>
      </c>
      <c r="E56" s="1" t="n">
        <v>46223</v>
      </c>
      <c r="F56" t="inlineStr">
        <is>
          <t>VÄSTRA GÖTALANDS LÄN</t>
        </is>
      </c>
      <c r="G56" t="inlineStr">
        <is>
          <t>VÅRGÅRDA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12990-2024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45385</v>
      </c>
      <c r="E57" s="1" t="n">
        <v>46223</v>
      </c>
      <c r="F57" t="inlineStr">
        <is>
          <t>VÄSTRA GÖTALANDS LÄN</t>
        </is>
      </c>
      <c r="G57" t="inlineStr">
        <is>
          <t>VÅRGÅRDA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20169-2025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45772</v>
      </c>
      <c r="E58" s="1" t="n">
        <v>46223</v>
      </c>
      <c r="F58" t="inlineStr">
        <is>
          <t>VÄSTRA GÖTALANDS LÄN</t>
        </is>
      </c>
      <c r="G58" t="inlineStr">
        <is>
          <t>VÅRGÅRDA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59225-2023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45253</v>
      </c>
      <c r="E59" s="1" t="n">
        <v>46223</v>
      </c>
      <c r="F59" t="inlineStr">
        <is>
          <t>VÄSTRA GÖTALANDS LÄN</t>
        </is>
      </c>
      <c r="G59" t="inlineStr">
        <is>
          <t>VÅRGÅRDA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15236-2024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45400</v>
      </c>
      <c r="E60" s="1" t="n">
        <v>46223</v>
      </c>
      <c r="F60" t="inlineStr">
        <is>
          <t>VÄSTRA GÖTALANDS LÄN</t>
        </is>
      </c>
      <c r="G60" t="inlineStr">
        <is>
          <t>VÅRGÅRDA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4548-2024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45327</v>
      </c>
      <c r="E61" s="1" t="n">
        <v>46223</v>
      </c>
      <c r="F61" t="inlineStr">
        <is>
          <t>VÄSTRA GÖTALANDS LÄN</t>
        </is>
      </c>
      <c r="G61" t="inlineStr">
        <is>
          <t>VÅRGÅRDA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62535-2023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45268</v>
      </c>
      <c r="E62" s="1" t="n">
        <v>46223</v>
      </c>
      <c r="F62" t="inlineStr">
        <is>
          <t>VÄSTRA GÖTALANDS LÄN</t>
        </is>
      </c>
      <c r="G62" t="inlineStr">
        <is>
          <t>VÅRGÅRDA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38046-2022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44811</v>
      </c>
      <c r="E63" s="1" t="n">
        <v>46223</v>
      </c>
      <c r="F63" t="inlineStr">
        <is>
          <t>VÄSTRA GÖTALANDS LÄN</t>
        </is>
      </c>
      <c r="G63" t="inlineStr">
        <is>
          <t>VÅRGÅRDA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65946-2021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46223</v>
      </c>
      <c r="F64" t="inlineStr">
        <is>
          <t>VÄSTRA GÖTALANDS LÄN</t>
        </is>
      </c>
      <c r="G64" t="inlineStr">
        <is>
          <t>VÅRGÅRDA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21875-2024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45443</v>
      </c>
      <c r="E65" s="1" t="n">
        <v>46223</v>
      </c>
      <c r="F65" t="inlineStr">
        <is>
          <t>VÄSTRA GÖTALANDS LÄN</t>
        </is>
      </c>
      <c r="G65" t="inlineStr">
        <is>
          <t>VÅRGÅRDA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57860-2023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45247</v>
      </c>
      <c r="E66" s="1" t="n">
        <v>46223</v>
      </c>
      <c r="F66" t="inlineStr">
        <is>
          <t>VÄSTRA GÖTALANDS LÄN</t>
        </is>
      </c>
      <c r="G66" t="inlineStr">
        <is>
          <t>VÅRGÅRDA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50160-2022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46223</v>
      </c>
      <c r="F67" t="inlineStr">
        <is>
          <t>VÄSTRA GÖTALANDS LÄN</t>
        </is>
      </c>
      <c r="G67" t="inlineStr">
        <is>
          <t>VÅRGÅRDA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45978-2022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44846</v>
      </c>
      <c r="E68" s="1" t="n">
        <v>46223</v>
      </c>
      <c r="F68" t="inlineStr">
        <is>
          <t>VÄSTRA GÖTALANDS LÄN</t>
        </is>
      </c>
      <c r="G68" t="inlineStr">
        <is>
          <t>VÅRGÅRDA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2345-2023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44942</v>
      </c>
      <c r="E69" s="1" t="n">
        <v>46223</v>
      </c>
      <c r="F69" t="inlineStr">
        <is>
          <t>VÄSTRA GÖTALANDS LÄN</t>
        </is>
      </c>
      <c r="G69" t="inlineStr">
        <is>
          <t>VÅRGÅRDA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62097-2022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44920</v>
      </c>
      <c r="E70" s="1" t="n">
        <v>46223</v>
      </c>
      <c r="F70" t="inlineStr">
        <is>
          <t>VÄSTRA GÖTALANDS LÄN</t>
        </is>
      </c>
      <c r="G70" t="inlineStr">
        <is>
          <t>VÅRGÅRDA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39000-2023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45163</v>
      </c>
      <c r="E71" s="1" t="n">
        <v>46223</v>
      </c>
      <c r="F71" t="inlineStr">
        <is>
          <t>VÄSTRA GÖTALANDS LÄN</t>
        </is>
      </c>
      <c r="G71" t="inlineStr">
        <is>
          <t>VÅRGÅRDA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9721-2023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44984</v>
      </c>
      <c r="E72" s="1" t="n">
        <v>46223</v>
      </c>
      <c r="F72" t="inlineStr">
        <is>
          <t>VÄSTRA GÖTALANDS LÄN</t>
        </is>
      </c>
      <c r="G72" t="inlineStr">
        <is>
          <t>VÅRGÅRDA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9090-2024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45357</v>
      </c>
      <c r="E73" s="1" t="n">
        <v>46223</v>
      </c>
      <c r="F73" t="inlineStr">
        <is>
          <t>VÄSTRA GÖTALANDS LÄN</t>
        </is>
      </c>
      <c r="G73" t="inlineStr">
        <is>
          <t>VÅRGÅRDA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21932-2024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45443</v>
      </c>
      <c r="E74" s="1" t="n">
        <v>46223</v>
      </c>
      <c r="F74" t="inlineStr">
        <is>
          <t>VÄSTRA GÖTALANDS LÄN</t>
        </is>
      </c>
      <c r="G74" t="inlineStr">
        <is>
          <t>VÅRGÅRDA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25911-2025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45804</v>
      </c>
      <c r="E75" s="1" t="n">
        <v>46223</v>
      </c>
      <c r="F75" t="inlineStr">
        <is>
          <t>VÄSTRA GÖTALANDS LÄN</t>
        </is>
      </c>
      <c r="G75" t="inlineStr">
        <is>
          <t>VÅRGÅRDA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3382-2026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46042</v>
      </c>
      <c r="E76" s="1" t="n">
        <v>46223</v>
      </c>
      <c r="F76" t="inlineStr">
        <is>
          <t>VÄSTRA GÖTALANDS LÄN</t>
        </is>
      </c>
      <c r="G76" t="inlineStr">
        <is>
          <t>VÅRGÅRDA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59325-2023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45253</v>
      </c>
      <c r="E77" s="1" t="n">
        <v>46223</v>
      </c>
      <c r="F77" t="inlineStr">
        <is>
          <t>VÄSTRA GÖTALANDS LÄN</t>
        </is>
      </c>
      <c r="G77" t="inlineStr">
        <is>
          <t>VÅRGÅRDA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54586-2023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45233</v>
      </c>
      <c r="E78" s="1" t="n">
        <v>46223</v>
      </c>
      <c r="F78" t="inlineStr">
        <is>
          <t>VÄSTRA GÖTALANDS LÄN</t>
        </is>
      </c>
      <c r="G78" t="inlineStr">
        <is>
          <t>VÅRGÅRDA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8983-2024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45356</v>
      </c>
      <c r="E79" s="1" t="n">
        <v>46223</v>
      </c>
      <c r="F79" t="inlineStr">
        <is>
          <t>VÄSTRA GÖTALANDS LÄN</t>
        </is>
      </c>
      <c r="G79" t="inlineStr">
        <is>
          <t>VÅRGÅRDA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58074-2022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44900</v>
      </c>
      <c r="E80" s="1" t="n">
        <v>46223</v>
      </c>
      <c r="F80" t="inlineStr">
        <is>
          <t>VÄSTRA GÖTALANDS LÄN</t>
        </is>
      </c>
      <c r="G80" t="inlineStr">
        <is>
          <t>VÅRGÅRDA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27249-2025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45812</v>
      </c>
      <c r="E81" s="1" t="n">
        <v>46223</v>
      </c>
      <c r="F81" t="inlineStr">
        <is>
          <t>VÄSTRA GÖTALANDS LÄN</t>
        </is>
      </c>
      <c r="G81" t="inlineStr">
        <is>
          <t>VÅRGÅRDA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26964-2025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45811</v>
      </c>
      <c r="E82" s="1" t="n">
        <v>46223</v>
      </c>
      <c r="F82" t="inlineStr">
        <is>
          <t>VÄSTRA GÖTALANDS LÄN</t>
        </is>
      </c>
      <c r="G82" t="inlineStr">
        <is>
          <t>VÅRGÅRDA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27227-2025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45812</v>
      </c>
      <c r="E83" s="1" t="n">
        <v>46223</v>
      </c>
      <c r="F83" t="inlineStr">
        <is>
          <t>VÄSTRA GÖTALANDS LÄN</t>
        </is>
      </c>
      <c r="G83" t="inlineStr">
        <is>
          <t>VÅRGÅRDA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27109-2025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45811</v>
      </c>
      <c r="E84" s="1" t="n">
        <v>46223</v>
      </c>
      <c r="F84" t="inlineStr">
        <is>
          <t>VÄSTRA GÖTALANDS LÄN</t>
        </is>
      </c>
      <c r="G84" t="inlineStr">
        <is>
          <t>VÅRGÅRDA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27110-2025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45811</v>
      </c>
      <c r="E85" s="1" t="n">
        <v>46223</v>
      </c>
      <c r="F85" t="inlineStr">
        <is>
          <t>VÄSTRA GÖTALANDS LÄN</t>
        </is>
      </c>
      <c r="G85" t="inlineStr">
        <is>
          <t>VÅRGÅRDA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7962-2024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45350</v>
      </c>
      <c r="E86" s="1" t="n">
        <v>46223</v>
      </c>
      <c r="F86" t="inlineStr">
        <is>
          <t>VÄSTRA GÖTALANDS LÄN</t>
        </is>
      </c>
      <c r="G86" t="inlineStr">
        <is>
          <t>VÅRGÅRDA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15421-2024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45401</v>
      </c>
      <c r="E87" s="1" t="n">
        <v>46223</v>
      </c>
      <c r="F87" t="inlineStr">
        <is>
          <t>VÄSTRA GÖTALANDS LÄN</t>
        </is>
      </c>
      <c r="G87" t="inlineStr">
        <is>
          <t>VÅRGÅRDA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54185-2024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45616</v>
      </c>
      <c r="E88" s="1" t="n">
        <v>46223</v>
      </c>
      <c r="F88" t="inlineStr">
        <is>
          <t>VÄSTRA GÖTALANDS LÄN</t>
        </is>
      </c>
      <c r="G88" t="inlineStr">
        <is>
          <t>VÅRGÅRDA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27141-2024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45471</v>
      </c>
      <c r="E89" s="1" t="n">
        <v>46223</v>
      </c>
      <c r="F89" t="inlineStr">
        <is>
          <t>VÄSTRA GÖTALANDS LÄN</t>
        </is>
      </c>
      <c r="G89" t="inlineStr">
        <is>
          <t>VÅRGÅRDA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16281-2025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45751</v>
      </c>
      <c r="E90" s="1" t="n">
        <v>46223</v>
      </c>
      <c r="F90" t="inlineStr">
        <is>
          <t>VÄSTRA GÖTALANDS LÄN</t>
        </is>
      </c>
      <c r="G90" t="inlineStr">
        <is>
          <t>VÅRGÅRDA</t>
        </is>
      </c>
      <c r="H90" t="inlineStr">
        <is>
          <t>Sveaskog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16283-2025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45751</v>
      </c>
      <c r="E91" s="1" t="n">
        <v>46223</v>
      </c>
      <c r="F91" t="inlineStr">
        <is>
          <t>VÄSTRA GÖTALANDS LÄN</t>
        </is>
      </c>
      <c r="G91" t="inlineStr">
        <is>
          <t>VÅRGÅRDA</t>
        </is>
      </c>
      <c r="H91" t="inlineStr">
        <is>
          <t>Sveaskog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20807-2025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45776</v>
      </c>
      <c r="E92" s="1" t="n">
        <v>46223</v>
      </c>
      <c r="F92" t="inlineStr">
        <is>
          <t>VÄSTRA GÖTALANDS LÄN</t>
        </is>
      </c>
      <c r="G92" t="inlineStr">
        <is>
          <t>VÅRGÅRDA</t>
        </is>
      </c>
      <c r="H92" t="inlineStr">
        <is>
          <t>Kommuner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3701-2026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46043</v>
      </c>
      <c r="E93" s="1" t="n">
        <v>46223</v>
      </c>
      <c r="F93" t="inlineStr">
        <is>
          <t>VÄSTRA GÖTALANDS LÄN</t>
        </is>
      </c>
      <c r="G93" t="inlineStr">
        <is>
          <t>VÅRGÅRDA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20275-2025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45774</v>
      </c>
      <c r="E94" s="1" t="n">
        <v>46223</v>
      </c>
      <c r="F94" t="inlineStr">
        <is>
          <t>VÄSTRA GÖTALANDS LÄN</t>
        </is>
      </c>
      <c r="G94" t="inlineStr">
        <is>
          <t>VÅRGÅRDA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28052-2025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45817</v>
      </c>
      <c r="E95" s="1" t="n">
        <v>46223</v>
      </c>
      <c r="F95" t="inlineStr">
        <is>
          <t>VÄSTRA GÖTALANDS LÄN</t>
        </is>
      </c>
      <c r="G95" t="inlineStr">
        <is>
          <t>VÅRGÅRDA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14786-2024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45397</v>
      </c>
      <c r="E96" s="1" t="n">
        <v>46223</v>
      </c>
      <c r="F96" t="inlineStr">
        <is>
          <t>VÄSTRA GÖTALANDS LÄN</t>
        </is>
      </c>
      <c r="G96" t="inlineStr">
        <is>
          <t>VÅRGÅRDA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49751-2023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45212</v>
      </c>
      <c r="E97" s="1" t="n">
        <v>46223</v>
      </c>
      <c r="F97" t="inlineStr">
        <is>
          <t>VÄSTRA GÖTALANDS LÄN</t>
        </is>
      </c>
      <c r="G97" t="inlineStr">
        <is>
          <t>VÅRGÅRDA</t>
        </is>
      </c>
      <c r="I97" t="n">
        <v>11.5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3756-2023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44951</v>
      </c>
      <c r="E98" s="1" t="n">
        <v>46223</v>
      </c>
      <c r="F98" t="inlineStr">
        <is>
          <t>VÄSTRA GÖTALANDS LÄN</t>
        </is>
      </c>
      <c r="G98" t="inlineStr">
        <is>
          <t>VÅRGÅRDA</t>
        </is>
      </c>
      <c r="I98" t="n">
        <v>5.2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39929-2025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45891</v>
      </c>
      <c r="E99" s="1" t="n">
        <v>46223</v>
      </c>
      <c r="F99" t="inlineStr">
        <is>
          <t>VÄSTRA GÖTALANDS LÄN</t>
        </is>
      </c>
      <c r="G99" t="inlineStr">
        <is>
          <t>VÅRGÅRDA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30079-2025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45826</v>
      </c>
      <c r="E100" s="1" t="n">
        <v>46223</v>
      </c>
      <c r="F100" t="inlineStr">
        <is>
          <t>VÄSTRA GÖTALANDS LÄN</t>
        </is>
      </c>
      <c r="G100" t="inlineStr">
        <is>
          <t>VÅRGÅRDA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13034-2025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45734</v>
      </c>
      <c r="E101" s="1" t="n">
        <v>46223</v>
      </c>
      <c r="F101" t="inlineStr">
        <is>
          <t>VÄSTRA GÖTALANDS LÄN</t>
        </is>
      </c>
      <c r="G101" t="inlineStr">
        <is>
          <t>VÅRGÅRDA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61904-2022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44917</v>
      </c>
      <c r="E102" s="1" t="n">
        <v>46223</v>
      </c>
      <c r="F102" t="inlineStr">
        <is>
          <t>VÄSTRA GÖTALANDS LÄN</t>
        </is>
      </c>
      <c r="G102" t="inlineStr">
        <is>
          <t>VÅRGÅRDA</t>
        </is>
      </c>
      <c r="H102" t="inlineStr">
        <is>
          <t>Kyrkan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61907-2022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44917</v>
      </c>
      <c r="E103" s="1" t="n">
        <v>46223</v>
      </c>
      <c r="F103" t="inlineStr">
        <is>
          <t>VÄSTRA GÖTALANDS LÄN</t>
        </is>
      </c>
      <c r="G103" t="inlineStr">
        <is>
          <t>VÅRGÅRDA</t>
        </is>
      </c>
      <c r="H103" t="inlineStr">
        <is>
          <t>Kyrkan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41625-2025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45901</v>
      </c>
      <c r="E104" s="1" t="n">
        <v>46223</v>
      </c>
      <c r="F104" t="inlineStr">
        <is>
          <t>VÄSTRA GÖTALANDS LÄN</t>
        </is>
      </c>
      <c r="G104" t="inlineStr">
        <is>
          <t>VÅRGÅRDA</t>
        </is>
      </c>
      <c r="I104" t="n">
        <v>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35055-2025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45852</v>
      </c>
      <c r="E105" s="1" t="n">
        <v>46223</v>
      </c>
      <c r="F105" t="inlineStr">
        <is>
          <t>VÄSTRA GÖTALANDS LÄN</t>
        </is>
      </c>
      <c r="G105" t="inlineStr">
        <is>
          <t>VÅRGÅRDA</t>
        </is>
      </c>
      <c r="I105" t="n">
        <v>0.1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59381-2022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44905</v>
      </c>
      <c r="E106" s="1" t="n">
        <v>46223</v>
      </c>
      <c r="F106" t="inlineStr">
        <is>
          <t>VÄSTRA GÖTALANDS LÄN</t>
        </is>
      </c>
      <c r="G106" t="inlineStr">
        <is>
          <t>VÅRGÅRDA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13122-2025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45734</v>
      </c>
      <c r="E107" s="1" t="n">
        <v>46223</v>
      </c>
      <c r="F107" t="inlineStr">
        <is>
          <t>VÄSTRA GÖTALANDS LÄN</t>
        </is>
      </c>
      <c r="G107" t="inlineStr">
        <is>
          <t>VÅRGÅRDA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42646-2025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45906</v>
      </c>
      <c r="E108" s="1" t="n">
        <v>46223</v>
      </c>
      <c r="F108" t="inlineStr">
        <is>
          <t>VÄSTRA GÖTALANDS LÄN</t>
        </is>
      </c>
      <c r="G108" t="inlineStr">
        <is>
          <t>VÅRGÅRDA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10586-2024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45366</v>
      </c>
      <c r="E109" s="1" t="n">
        <v>46223</v>
      </c>
      <c r="F109" t="inlineStr">
        <is>
          <t>VÄSTRA GÖTALANDS LÄN</t>
        </is>
      </c>
      <c r="G109" t="inlineStr">
        <is>
          <t>VÅRGÅRDA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43337-2025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45910</v>
      </c>
      <c r="E110" s="1" t="n">
        <v>46223</v>
      </c>
      <c r="F110" t="inlineStr">
        <is>
          <t>VÄSTRA GÖTALANDS LÄN</t>
        </is>
      </c>
      <c r="G110" t="inlineStr">
        <is>
          <t>VÅRGÅRDA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43314-2025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45910</v>
      </c>
      <c r="E111" s="1" t="n">
        <v>46223</v>
      </c>
      <c r="F111" t="inlineStr">
        <is>
          <t>VÄSTRA GÖTALANDS LÄN</t>
        </is>
      </c>
      <c r="G111" t="inlineStr">
        <is>
          <t>VÅRGÅRDA</t>
        </is>
      </c>
      <c r="H111" t="inlineStr">
        <is>
          <t>Allmännings- och besparingsskogar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24064-2022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44725</v>
      </c>
      <c r="E112" s="1" t="n">
        <v>46223</v>
      </c>
      <c r="F112" t="inlineStr">
        <is>
          <t>VÄSTRA GÖTALANDS LÄN</t>
        </is>
      </c>
      <c r="G112" t="inlineStr">
        <is>
          <t>VÅRGÅRDA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1262-2023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44936</v>
      </c>
      <c r="E113" s="1" t="n">
        <v>46223</v>
      </c>
      <c r="F113" t="inlineStr">
        <is>
          <t>VÄSTRA GÖTALANDS LÄN</t>
        </is>
      </c>
      <c r="G113" t="inlineStr">
        <is>
          <t>VÅRGÅRDA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43214-2025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45910</v>
      </c>
      <c r="E114" s="1" t="n">
        <v>46223</v>
      </c>
      <c r="F114" t="inlineStr">
        <is>
          <t>VÄSTRA GÖTALANDS LÄN</t>
        </is>
      </c>
      <c r="G114" t="inlineStr">
        <is>
          <t>VÅRGÅRDA</t>
        </is>
      </c>
      <c r="H114" t="inlineStr">
        <is>
          <t>Allmännings- och besparingsskogar</t>
        </is>
      </c>
      <c r="I114" t="n">
        <v>13.8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50958-2023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45210</v>
      </c>
      <c r="E115" s="1" t="n">
        <v>46223</v>
      </c>
      <c r="F115" t="inlineStr">
        <is>
          <t>VÄSTRA GÖTALANDS LÄN</t>
        </is>
      </c>
      <c r="G115" t="inlineStr">
        <is>
          <t>VÅRGÅRDA</t>
        </is>
      </c>
      <c r="H115" t="inlineStr">
        <is>
          <t>Allmännings- och besparingsskogar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50053-2024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45600</v>
      </c>
      <c r="E116" s="1" t="n">
        <v>46223</v>
      </c>
      <c r="F116" t="inlineStr">
        <is>
          <t>VÄSTRA GÖTALANDS LÄN</t>
        </is>
      </c>
      <c r="G116" t="inlineStr">
        <is>
          <t>VÅRGÅRDA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5707-2026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46051</v>
      </c>
      <c r="E117" s="1" t="n">
        <v>46223</v>
      </c>
      <c r="F117" t="inlineStr">
        <is>
          <t>VÄSTRA GÖTALANDS LÄN</t>
        </is>
      </c>
      <c r="G117" t="inlineStr">
        <is>
          <t>VÅRGÅRDA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30674-2023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45112</v>
      </c>
      <c r="E118" s="1" t="n">
        <v>46223</v>
      </c>
      <c r="F118" t="inlineStr">
        <is>
          <t>VÄSTRA GÖTALANDS LÄN</t>
        </is>
      </c>
      <c r="G118" t="inlineStr">
        <is>
          <t>VÅRGÅRDA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45293-2025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45920</v>
      </c>
      <c r="E119" s="1" t="n">
        <v>46223</v>
      </c>
      <c r="F119" t="inlineStr">
        <is>
          <t>VÄSTRA GÖTALANDS LÄN</t>
        </is>
      </c>
      <c r="G119" t="inlineStr">
        <is>
          <t>VÅRGÅRDA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5708-2026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46051</v>
      </c>
      <c r="E120" s="1" t="n">
        <v>46223</v>
      </c>
      <c r="F120" t="inlineStr">
        <is>
          <t>VÄSTRA GÖTALANDS LÄN</t>
        </is>
      </c>
      <c r="G120" t="inlineStr">
        <is>
          <t>VÅRGÅRDA</t>
        </is>
      </c>
      <c r="I120" t="n">
        <v>9.199999999999999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45292-2025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45920</v>
      </c>
      <c r="E121" s="1" t="n">
        <v>46223</v>
      </c>
      <c r="F121" t="inlineStr">
        <is>
          <t>VÄSTRA GÖTALANDS LÄN</t>
        </is>
      </c>
      <c r="G121" t="inlineStr">
        <is>
          <t>VÅRGÅRDA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45853-2025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45923</v>
      </c>
      <c r="E122" s="1" t="n">
        <v>46223</v>
      </c>
      <c r="F122" t="inlineStr">
        <is>
          <t>VÄSTRA GÖTALANDS LÄN</t>
        </is>
      </c>
      <c r="G122" t="inlineStr">
        <is>
          <t>VÅRGÅRDA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44421-2024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45573</v>
      </c>
      <c r="E123" s="1" t="n">
        <v>46223</v>
      </c>
      <c r="F123" t="inlineStr">
        <is>
          <t>VÄSTRA GÖTALANDS LÄN</t>
        </is>
      </c>
      <c r="G123" t="inlineStr">
        <is>
          <t>VÅRGÅRDA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46233-2025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45925</v>
      </c>
      <c r="E124" s="1" t="n">
        <v>46223</v>
      </c>
      <c r="F124" t="inlineStr">
        <is>
          <t>VÄSTRA GÖTALANDS LÄN</t>
        </is>
      </c>
      <c r="G124" t="inlineStr">
        <is>
          <t>VÅRGÅRDA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46234-2025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45925</v>
      </c>
      <c r="E125" s="1" t="n">
        <v>46223</v>
      </c>
      <c r="F125" t="inlineStr">
        <is>
          <t>VÄSTRA GÖTALANDS LÄN</t>
        </is>
      </c>
      <c r="G125" t="inlineStr">
        <is>
          <t>VÅRGÅRDA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46237-2025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45925</v>
      </c>
      <c r="E126" s="1" t="n">
        <v>46223</v>
      </c>
      <c r="F126" t="inlineStr">
        <is>
          <t>VÄSTRA GÖTALANDS LÄN</t>
        </is>
      </c>
      <c r="G126" t="inlineStr">
        <is>
          <t>VÅRGÅRDA</t>
        </is>
      </c>
      <c r="I126" t="n">
        <v>14.2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22515-2022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44713</v>
      </c>
      <c r="E127" s="1" t="n">
        <v>46223</v>
      </c>
      <c r="F127" t="inlineStr">
        <is>
          <t>VÄSTRA GÖTALANDS LÄN</t>
        </is>
      </c>
      <c r="G127" t="inlineStr">
        <is>
          <t>VÅRGÅRDA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22517-2022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44713</v>
      </c>
      <c r="E128" s="1" t="n">
        <v>46223</v>
      </c>
      <c r="F128" t="inlineStr">
        <is>
          <t>VÄSTRA GÖTALANDS LÄN</t>
        </is>
      </c>
      <c r="G128" t="inlineStr">
        <is>
          <t>VÅRGÅRDA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42552-2024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45565</v>
      </c>
      <c r="E129" s="1" t="n">
        <v>46223</v>
      </c>
      <c r="F129" t="inlineStr">
        <is>
          <t>VÄSTRA GÖTALANDS LÄN</t>
        </is>
      </c>
      <c r="G129" t="inlineStr">
        <is>
          <t>VÅRGÅRDA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46833-2025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45927</v>
      </c>
      <c r="E130" s="1" t="n">
        <v>46223</v>
      </c>
      <c r="F130" t="inlineStr">
        <is>
          <t>VÄSTRA GÖTALANDS LÄN</t>
        </is>
      </c>
      <c r="G130" t="inlineStr">
        <is>
          <t>VÅRGÅRDA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35621-2025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45859</v>
      </c>
      <c r="E131" s="1" t="n">
        <v>46223</v>
      </c>
      <c r="F131" t="inlineStr">
        <is>
          <t>VÄSTRA GÖTALANDS LÄN</t>
        </is>
      </c>
      <c r="G131" t="inlineStr">
        <is>
          <t>VÅRGÅRDA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46823-2025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45926</v>
      </c>
      <c r="E132" s="1" t="n">
        <v>46223</v>
      </c>
      <c r="F132" t="inlineStr">
        <is>
          <t>VÄSTRA GÖTALANDS LÄN</t>
        </is>
      </c>
      <c r="G132" t="inlineStr">
        <is>
          <t>VÅRGÅRDA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5523-2023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44960</v>
      </c>
      <c r="E133" s="1" t="n">
        <v>46223</v>
      </c>
      <c r="F133" t="inlineStr">
        <is>
          <t>VÄSTRA GÖTALANDS LÄN</t>
        </is>
      </c>
      <c r="G133" t="inlineStr">
        <is>
          <t>VÅRGÅRDA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48099-2025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45933</v>
      </c>
      <c r="E134" s="1" t="n">
        <v>46223</v>
      </c>
      <c r="F134" t="inlineStr">
        <is>
          <t>VÄSTRA GÖTALANDS LÄN</t>
        </is>
      </c>
      <c r="G134" t="inlineStr">
        <is>
          <t>VÅRGÅRDA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56637-2024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45625</v>
      </c>
      <c r="E135" s="1" t="n">
        <v>46223</v>
      </c>
      <c r="F135" t="inlineStr">
        <is>
          <t>VÄSTRA GÖTALANDS LÄN</t>
        </is>
      </c>
      <c r="G135" t="inlineStr">
        <is>
          <t>VÅRGÅRDA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48094-2025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45933</v>
      </c>
      <c r="E136" s="1" t="n">
        <v>46223</v>
      </c>
      <c r="F136" t="inlineStr">
        <is>
          <t>VÄSTRA GÖTALANDS LÄN</t>
        </is>
      </c>
      <c r="G136" t="inlineStr">
        <is>
          <t>VÅRGÅRDA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48104-2025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45933</v>
      </c>
      <c r="E137" s="1" t="n">
        <v>46223</v>
      </c>
      <c r="F137" t="inlineStr">
        <is>
          <t>VÄSTRA GÖTALANDS LÄN</t>
        </is>
      </c>
      <c r="G137" t="inlineStr">
        <is>
          <t>VÅRGÅRDA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48081-2025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45932</v>
      </c>
      <c r="E138" s="1" t="n">
        <v>46223</v>
      </c>
      <c r="F138" t="inlineStr">
        <is>
          <t>VÄSTRA GÖTALANDS LÄN</t>
        </is>
      </c>
      <c r="G138" t="inlineStr">
        <is>
          <t>VÅRGÅRDA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48082-2025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45932</v>
      </c>
      <c r="E139" s="1" t="n">
        <v>46223</v>
      </c>
      <c r="F139" t="inlineStr">
        <is>
          <t>VÄSTRA GÖTALANDS LÄN</t>
        </is>
      </c>
      <c r="G139" t="inlineStr">
        <is>
          <t>VÅRGÅRDA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36639-2025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45870</v>
      </c>
      <c r="E140" s="1" t="n">
        <v>46223</v>
      </c>
      <c r="F140" t="inlineStr">
        <is>
          <t>VÄSTRA GÖTALANDS LÄN</t>
        </is>
      </c>
      <c r="G140" t="inlineStr">
        <is>
          <t>VÅRGÅRDA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48080-2025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45932</v>
      </c>
      <c r="E141" s="1" t="n">
        <v>46223</v>
      </c>
      <c r="F141" t="inlineStr">
        <is>
          <t>VÄSTRA GÖTALANDS LÄN</t>
        </is>
      </c>
      <c r="G141" t="inlineStr">
        <is>
          <t>VÅRGÅRDA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48100-2025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45933</v>
      </c>
      <c r="E142" s="1" t="n">
        <v>46223</v>
      </c>
      <c r="F142" t="inlineStr">
        <is>
          <t>VÄSTRA GÖTALANDS LÄN</t>
        </is>
      </c>
      <c r="G142" t="inlineStr">
        <is>
          <t>VÅRGÅRDA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7070-2026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46058</v>
      </c>
      <c r="E143" s="1" t="n">
        <v>46223</v>
      </c>
      <c r="F143" t="inlineStr">
        <is>
          <t>VÄSTRA GÖTALANDS LÄN</t>
        </is>
      </c>
      <c r="G143" t="inlineStr">
        <is>
          <t>VÅRGÅRDA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49431-2025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45938</v>
      </c>
      <c r="E144" s="1" t="n">
        <v>46223</v>
      </c>
      <c r="F144" t="inlineStr">
        <is>
          <t>VÄSTRA GÖTALANDS LÄN</t>
        </is>
      </c>
      <c r="G144" t="inlineStr">
        <is>
          <t>VÅRGÅRDA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52097-2024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45608</v>
      </c>
      <c r="E145" s="1" t="n">
        <v>46223</v>
      </c>
      <c r="F145" t="inlineStr">
        <is>
          <t>VÄSTRA GÖTALANDS LÄN</t>
        </is>
      </c>
      <c r="G145" t="inlineStr">
        <is>
          <t>VÅRGÅRDA</t>
        </is>
      </c>
      <c r="I145" t="n">
        <v>10.9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49598-2025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45939</v>
      </c>
      <c r="E146" s="1" t="n">
        <v>46223</v>
      </c>
      <c r="F146" t="inlineStr">
        <is>
          <t>VÄSTRA GÖTALANDS LÄN</t>
        </is>
      </c>
      <c r="G146" t="inlineStr">
        <is>
          <t>VÅRGÅRDA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49855-2025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45940</v>
      </c>
      <c r="E147" s="1" t="n">
        <v>46223</v>
      </c>
      <c r="F147" t="inlineStr">
        <is>
          <t>VÄSTRA GÖTALANDS LÄN</t>
        </is>
      </c>
      <c r="G147" t="inlineStr">
        <is>
          <t>VÅRGÅRDA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36974-2024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45538</v>
      </c>
      <c r="E148" s="1" t="n">
        <v>46223</v>
      </c>
      <c r="F148" t="inlineStr">
        <is>
          <t>VÄSTRA GÖTALANDS LÄN</t>
        </is>
      </c>
      <c r="G148" t="inlineStr">
        <is>
          <t>VÅRGÅRDA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7529-2026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46059</v>
      </c>
      <c r="E149" s="1" t="n">
        <v>46223</v>
      </c>
      <c r="F149" t="inlineStr">
        <is>
          <t>VÄSTRA GÖTALANDS LÄN</t>
        </is>
      </c>
      <c r="G149" t="inlineStr">
        <is>
          <t>VÅRGÅRDA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7535-2026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46059</v>
      </c>
      <c r="E150" s="1" t="n">
        <v>46223</v>
      </c>
      <c r="F150" t="inlineStr">
        <is>
          <t>VÄSTRA GÖTALANDS LÄN</t>
        </is>
      </c>
      <c r="G150" t="inlineStr">
        <is>
          <t>VÅRGÅRDA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19308-2025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45769</v>
      </c>
      <c r="E151" s="1" t="n">
        <v>46223</v>
      </c>
      <c r="F151" t="inlineStr">
        <is>
          <t>VÄSTRA GÖTALANDS LÄN</t>
        </is>
      </c>
      <c r="G151" t="inlineStr">
        <is>
          <t>VÅRGÅRDA</t>
        </is>
      </c>
      <c r="H151" t="inlineStr">
        <is>
          <t>Kommuner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51167-2025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46223</v>
      </c>
      <c r="F152" t="inlineStr">
        <is>
          <t>VÄSTRA GÖTALANDS LÄN</t>
        </is>
      </c>
      <c r="G152" t="inlineStr">
        <is>
          <t>VÅRGÅRDA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8372-2026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46064</v>
      </c>
      <c r="E153" s="1" t="n">
        <v>46223</v>
      </c>
      <c r="F153" t="inlineStr">
        <is>
          <t>VÄSTRA GÖTALANDS LÄN</t>
        </is>
      </c>
      <c r="G153" t="inlineStr">
        <is>
          <t>VÅRGÅRDA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8659-2026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46066</v>
      </c>
      <c r="E154" s="1" t="n">
        <v>46223</v>
      </c>
      <c r="F154" t="inlineStr">
        <is>
          <t>VÄSTRA GÖTALANDS LÄN</t>
        </is>
      </c>
      <c r="G154" t="inlineStr">
        <is>
          <t>VÅRGÅRDA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9725-2023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44984</v>
      </c>
      <c r="E155" s="1" t="n">
        <v>46223</v>
      </c>
      <c r="F155" t="inlineStr">
        <is>
          <t>VÄSTRA GÖTALANDS LÄN</t>
        </is>
      </c>
      <c r="G155" t="inlineStr">
        <is>
          <t>VÅRGÅRDA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46732-2023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45198</v>
      </c>
      <c r="E156" s="1" t="n">
        <v>46223</v>
      </c>
      <c r="F156" t="inlineStr">
        <is>
          <t>VÄSTRA GÖTALANDS LÄN</t>
        </is>
      </c>
      <c r="G156" t="inlineStr">
        <is>
          <t>VÅRGÅRDA</t>
        </is>
      </c>
      <c r="H156" t="inlineStr">
        <is>
          <t>Kyrkan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11484-2025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45726</v>
      </c>
      <c r="E157" s="1" t="n">
        <v>46223</v>
      </c>
      <c r="F157" t="inlineStr">
        <is>
          <t>VÄSTRA GÖTALANDS LÄN</t>
        </is>
      </c>
      <c r="G157" t="inlineStr">
        <is>
          <t>VÅRGÅRDA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9305-2026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46070</v>
      </c>
      <c r="E158" s="1" t="n">
        <v>46223</v>
      </c>
      <c r="F158" t="inlineStr">
        <is>
          <t>VÄSTRA GÖTALANDS LÄN</t>
        </is>
      </c>
      <c r="G158" t="inlineStr">
        <is>
          <t>VÅRGÅRDA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9261-2026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46070</v>
      </c>
      <c r="E159" s="1" t="n">
        <v>46223</v>
      </c>
      <c r="F159" t="inlineStr">
        <is>
          <t>VÄSTRA GÖTALANDS LÄN</t>
        </is>
      </c>
      <c r="G159" t="inlineStr">
        <is>
          <t>VÅRGÅRDA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9301-2026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46070</v>
      </c>
      <c r="E160" s="1" t="n">
        <v>46223</v>
      </c>
      <c r="F160" t="inlineStr">
        <is>
          <t>VÄSTRA GÖTALANDS LÄN</t>
        </is>
      </c>
      <c r="G160" t="inlineStr">
        <is>
          <t>VÅRGÅRDA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9297-2026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46070</v>
      </c>
      <c r="E161" s="1" t="n">
        <v>46223</v>
      </c>
      <c r="F161" t="inlineStr">
        <is>
          <t>VÄSTRA GÖTALANDS LÄN</t>
        </is>
      </c>
      <c r="G161" t="inlineStr">
        <is>
          <t>VÅRGÅRDA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30362-2024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45491</v>
      </c>
      <c r="E162" s="1" t="n">
        <v>46223</v>
      </c>
      <c r="F162" t="inlineStr">
        <is>
          <t>VÄSTRA GÖTALANDS LÄN</t>
        </is>
      </c>
      <c r="G162" t="inlineStr">
        <is>
          <t>VÅRGÅRDA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24785-2023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45084</v>
      </c>
      <c r="E163" s="1" t="n">
        <v>46223</v>
      </c>
      <c r="F163" t="inlineStr">
        <is>
          <t>VÄSTRA GÖTALANDS LÄN</t>
        </is>
      </c>
      <c r="G163" t="inlineStr">
        <is>
          <t>VÅRGÅRDA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54937-2022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44881</v>
      </c>
      <c r="E164" s="1" t="n">
        <v>46223</v>
      </c>
      <c r="F164" t="inlineStr">
        <is>
          <t>VÄSTRA GÖTALANDS LÄN</t>
        </is>
      </c>
      <c r="G164" t="inlineStr">
        <is>
          <t>VÅRGÅRDA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37424-2021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44398</v>
      </c>
      <c r="E165" s="1" t="n">
        <v>46223</v>
      </c>
      <c r="F165" t="inlineStr">
        <is>
          <t>VÄSTRA GÖTALANDS LÄN</t>
        </is>
      </c>
      <c r="G165" t="inlineStr">
        <is>
          <t>VÅRGÅRDA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55189-2025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45968</v>
      </c>
      <c r="E166" s="1" t="n">
        <v>46223</v>
      </c>
      <c r="F166" t="inlineStr">
        <is>
          <t>VÄSTRA GÖTALANDS LÄN</t>
        </is>
      </c>
      <c r="G166" t="inlineStr">
        <is>
          <t>VÅRGÅRDA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55188-2025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45968</v>
      </c>
      <c r="E167" s="1" t="n">
        <v>46223</v>
      </c>
      <c r="F167" t="inlineStr">
        <is>
          <t>VÄSTRA GÖTALANDS LÄN</t>
        </is>
      </c>
      <c r="G167" t="inlineStr">
        <is>
          <t>VÅRGÅRDA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55706-2025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45972</v>
      </c>
      <c r="E168" s="1" t="n">
        <v>46223</v>
      </c>
      <c r="F168" t="inlineStr">
        <is>
          <t>VÄSTRA GÖTALANDS LÄN</t>
        </is>
      </c>
      <c r="G168" t="inlineStr">
        <is>
          <t>VÅRGÅRDA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55776-2025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45972</v>
      </c>
      <c r="E169" s="1" t="n">
        <v>46223</v>
      </c>
      <c r="F169" t="inlineStr">
        <is>
          <t>VÄSTRA GÖTALANDS LÄN</t>
        </is>
      </c>
      <c r="G169" t="inlineStr">
        <is>
          <t>VÅRGÅRDA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2917-2023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44943</v>
      </c>
      <c r="E170" s="1" t="n">
        <v>46223</v>
      </c>
      <c r="F170" t="inlineStr">
        <is>
          <t>VÄSTRA GÖTALANDS LÄN</t>
        </is>
      </c>
      <c r="G170" t="inlineStr">
        <is>
          <t>VÅRGÅRDA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55992-2025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46223</v>
      </c>
      <c r="F171" t="inlineStr">
        <is>
          <t>VÄSTRA GÖTALANDS LÄN</t>
        </is>
      </c>
      <c r="G171" t="inlineStr">
        <is>
          <t>VÅRGÅRDA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56379-2025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45974</v>
      </c>
      <c r="E172" s="1" t="n">
        <v>46223</v>
      </c>
      <c r="F172" t="inlineStr">
        <is>
          <t>VÄSTRA GÖTALANDS LÄN</t>
        </is>
      </c>
      <c r="G172" t="inlineStr">
        <is>
          <t>VÅRGÅRDA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56381-2025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45974</v>
      </c>
      <c r="E173" s="1" t="n">
        <v>46223</v>
      </c>
      <c r="F173" t="inlineStr">
        <is>
          <t>VÄSTRA GÖTALANDS LÄN</t>
        </is>
      </c>
      <c r="G173" t="inlineStr">
        <is>
          <t>VÅRGÅRDA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57567-2025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45980</v>
      </c>
      <c r="E174" s="1" t="n">
        <v>46223</v>
      </c>
      <c r="F174" t="inlineStr">
        <is>
          <t>VÄSTRA GÖTALANDS LÄN</t>
        </is>
      </c>
      <c r="G174" t="inlineStr">
        <is>
          <t>VÅRGÅRDA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46108-2021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44442</v>
      </c>
      <c r="E175" s="1" t="n">
        <v>46223</v>
      </c>
      <c r="F175" t="inlineStr">
        <is>
          <t>VÄSTRA GÖTALANDS LÄN</t>
        </is>
      </c>
      <c r="G175" t="inlineStr">
        <is>
          <t>VÅRGÅRDA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19319-2025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45769</v>
      </c>
      <c r="E176" s="1" t="n">
        <v>46223</v>
      </c>
      <c r="F176" t="inlineStr">
        <is>
          <t>VÄSTRA GÖTALANDS LÄN</t>
        </is>
      </c>
      <c r="G176" t="inlineStr">
        <is>
          <t>VÅRGÅRDA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11869-2026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46085</v>
      </c>
      <c r="E177" s="1" t="n">
        <v>46223</v>
      </c>
      <c r="F177" t="inlineStr">
        <is>
          <t>VÄSTRA GÖTALANDS LÄN</t>
        </is>
      </c>
      <c r="G177" t="inlineStr">
        <is>
          <t>VÅRGÅRDA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58398-2025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45985</v>
      </c>
      <c r="E178" s="1" t="n">
        <v>46223</v>
      </c>
      <c r="F178" t="inlineStr">
        <is>
          <t>VÄSTRA GÖTALANDS LÄN</t>
        </is>
      </c>
      <c r="G178" t="inlineStr">
        <is>
          <t>VÅRGÅRDA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58444-2025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45985</v>
      </c>
      <c r="E179" s="1" t="n">
        <v>46223</v>
      </c>
      <c r="F179" t="inlineStr">
        <is>
          <t>VÄSTRA GÖTALANDS LÄN</t>
        </is>
      </c>
      <c r="G179" t="inlineStr">
        <is>
          <t>VÅRGÅRDA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58443-2025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45985</v>
      </c>
      <c r="E180" s="1" t="n">
        <v>46223</v>
      </c>
      <c r="F180" t="inlineStr">
        <is>
          <t>VÄSTRA GÖTALANDS LÄN</t>
        </is>
      </c>
      <c r="G180" t="inlineStr">
        <is>
          <t>VÅRGÅRDA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12173-2026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46086</v>
      </c>
      <c r="E181" s="1" t="n">
        <v>46223</v>
      </c>
      <c r="F181" t="inlineStr">
        <is>
          <t>VÄSTRA GÖTALANDS LÄN</t>
        </is>
      </c>
      <c r="G181" t="inlineStr">
        <is>
          <t>VÅRGÅRDA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20475-2023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45057</v>
      </c>
      <c r="E182" s="1" t="n">
        <v>46223</v>
      </c>
      <c r="F182" t="inlineStr">
        <is>
          <t>VÄSTRA GÖTALANDS LÄN</t>
        </is>
      </c>
      <c r="G182" t="inlineStr">
        <is>
          <t>VÅRGÅRDA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59156-2025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45988</v>
      </c>
      <c r="E183" s="1" t="n">
        <v>46223</v>
      </c>
      <c r="F183" t="inlineStr">
        <is>
          <t>VÄSTRA GÖTALANDS LÄN</t>
        </is>
      </c>
      <c r="G183" t="inlineStr">
        <is>
          <t>VÅRGÅRDA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59042-2025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45988</v>
      </c>
      <c r="E184" s="1" t="n">
        <v>46223</v>
      </c>
      <c r="F184" t="inlineStr">
        <is>
          <t>VÄSTRA GÖTALANDS LÄN</t>
        </is>
      </c>
      <c r="G184" t="inlineStr">
        <is>
          <t>VÅRGÅRDA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12665-2026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46091</v>
      </c>
      <c r="E185" s="1" t="n">
        <v>46223</v>
      </c>
      <c r="F185" t="inlineStr">
        <is>
          <t>VÄSTRA GÖTALANDS LÄN</t>
        </is>
      </c>
      <c r="G185" t="inlineStr">
        <is>
          <t>VÅRGÅRDA</t>
        </is>
      </c>
      <c r="H185" t="inlineStr">
        <is>
          <t>Sveaskog</t>
        </is>
      </c>
      <c r="I185" t="n">
        <v>11.4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16282-2025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45751</v>
      </c>
      <c r="E186" s="1" t="n">
        <v>46223</v>
      </c>
      <c r="F186" t="inlineStr">
        <is>
          <t>VÄSTRA GÖTALANDS LÄN</t>
        </is>
      </c>
      <c r="G186" t="inlineStr">
        <is>
          <t>VÅRGÅRDA</t>
        </is>
      </c>
      <c r="H186" t="inlineStr">
        <is>
          <t>Sveaskog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59317-2025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45989</v>
      </c>
      <c r="E187" s="1" t="n">
        <v>46223</v>
      </c>
      <c r="F187" t="inlineStr">
        <is>
          <t>VÄSTRA GÖTALANDS LÄN</t>
        </is>
      </c>
      <c r="G187" t="inlineStr">
        <is>
          <t>VÅRGÅRDA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54587-2023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45233</v>
      </c>
      <c r="E188" s="1" t="n">
        <v>46223</v>
      </c>
      <c r="F188" t="inlineStr">
        <is>
          <t>VÄSTRA GÖTALANDS LÄN</t>
        </is>
      </c>
      <c r="G188" t="inlineStr">
        <is>
          <t>VÅRGÅRDA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59309-2025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45989</v>
      </c>
      <c r="E189" s="1" t="n">
        <v>46223</v>
      </c>
      <c r="F189" t="inlineStr">
        <is>
          <t>VÄSTRA GÖTALANDS LÄN</t>
        </is>
      </c>
      <c r="G189" t="inlineStr">
        <is>
          <t>VÅRGÅRDA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10655-2025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45721</v>
      </c>
      <c r="E190" s="1" t="n">
        <v>46223</v>
      </c>
      <c r="F190" t="inlineStr">
        <is>
          <t>VÄSTRA GÖTALANDS LÄN</t>
        </is>
      </c>
      <c r="G190" t="inlineStr">
        <is>
          <t>VÅRGÅRDA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2052-2026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46031</v>
      </c>
      <c r="E191" s="1" t="n">
        <v>46223</v>
      </c>
      <c r="F191" t="inlineStr">
        <is>
          <t>VÄSTRA GÖTALANDS LÄN</t>
        </is>
      </c>
      <c r="G191" t="inlineStr">
        <is>
          <t>VÅRGÅRDA</t>
        </is>
      </c>
      <c r="H191" t="inlineStr">
        <is>
          <t>Övriga statliga verk och myndigheter</t>
        </is>
      </c>
      <c r="I191" t="n">
        <v>8.5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2051-2026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46031</v>
      </c>
      <c r="E192" s="1" t="n">
        <v>46223</v>
      </c>
      <c r="F192" t="inlineStr">
        <is>
          <t>VÄSTRA GÖTALANDS LÄN</t>
        </is>
      </c>
      <c r="G192" t="inlineStr">
        <is>
          <t>VÅRGÅRDA</t>
        </is>
      </c>
      <c r="H192" t="inlineStr">
        <is>
          <t>Övriga statliga verk och myndigheter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46944-2021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44446</v>
      </c>
      <c r="E193" s="1" t="n">
        <v>46223</v>
      </c>
      <c r="F193" t="inlineStr">
        <is>
          <t>VÄSTRA GÖTALANDS LÄN</t>
        </is>
      </c>
      <c r="G193" t="inlineStr">
        <is>
          <t>VÅRGÅRDA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60981-2025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45999</v>
      </c>
      <c r="E194" s="1" t="n">
        <v>46223</v>
      </c>
      <c r="F194" t="inlineStr">
        <is>
          <t>VÄSTRA GÖTALANDS LÄN</t>
        </is>
      </c>
      <c r="G194" t="inlineStr">
        <is>
          <t>VÅRGÅRDA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60975-2025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45999</v>
      </c>
      <c r="E195" s="1" t="n">
        <v>46223</v>
      </c>
      <c r="F195" t="inlineStr">
        <is>
          <t>VÄSTRA GÖTALANDS LÄN</t>
        </is>
      </c>
      <c r="G195" t="inlineStr">
        <is>
          <t>VÅRGÅRDA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60973-2025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45999</v>
      </c>
      <c r="E196" s="1" t="n">
        <v>46223</v>
      </c>
      <c r="F196" t="inlineStr">
        <is>
          <t>VÄSTRA GÖTALANDS LÄN</t>
        </is>
      </c>
      <c r="G196" t="inlineStr">
        <is>
          <t>VÅRGÅRDA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61731-2025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46002</v>
      </c>
      <c r="E197" s="1" t="n">
        <v>46223</v>
      </c>
      <c r="F197" t="inlineStr">
        <is>
          <t>VÄSTRA GÖTALANDS LÄN</t>
        </is>
      </c>
      <c r="G197" t="inlineStr">
        <is>
          <t>VÅRGÅRDA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34133-2022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44791</v>
      </c>
      <c r="E198" s="1" t="n">
        <v>46223</v>
      </c>
      <c r="F198" t="inlineStr">
        <is>
          <t>VÄSTRA GÖTALANDS LÄN</t>
        </is>
      </c>
      <c r="G198" t="inlineStr">
        <is>
          <t>VÅRGÅRDA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57902-2022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44900</v>
      </c>
      <c r="E199" s="1" t="n">
        <v>46223</v>
      </c>
      <c r="F199" t="inlineStr">
        <is>
          <t>VÄSTRA GÖTALANDS LÄN</t>
        </is>
      </c>
      <c r="G199" t="inlineStr">
        <is>
          <t>VÅRGÅRDA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16284-2025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45751</v>
      </c>
      <c r="E200" s="1" t="n">
        <v>46223</v>
      </c>
      <c r="F200" t="inlineStr">
        <is>
          <t>VÄSTRA GÖTALANDS LÄN</t>
        </is>
      </c>
      <c r="G200" t="inlineStr">
        <is>
          <t>VÅRGÅRDA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8195-2024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45351</v>
      </c>
      <c r="E201" s="1" t="n">
        <v>46223</v>
      </c>
      <c r="F201" t="inlineStr">
        <is>
          <t>VÄSTRA GÖTALANDS LÄN</t>
        </is>
      </c>
      <c r="G201" t="inlineStr">
        <is>
          <t>VÅRGÅRDA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9863-2024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45363</v>
      </c>
      <c r="E202" s="1" t="n">
        <v>46223</v>
      </c>
      <c r="F202" t="inlineStr">
        <is>
          <t>VÄSTRA GÖTALANDS LÄN</t>
        </is>
      </c>
      <c r="G202" t="inlineStr">
        <is>
          <t>VÅRGÅRDA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14669-2026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46101</v>
      </c>
      <c r="E203" s="1" t="n">
        <v>46223</v>
      </c>
      <c r="F203" t="inlineStr">
        <is>
          <t>VÄSTRA GÖTALANDS LÄN</t>
        </is>
      </c>
      <c r="G203" t="inlineStr">
        <is>
          <t>VÅRGÅRDA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3619-2023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44950</v>
      </c>
      <c r="E204" s="1" t="n">
        <v>46223</v>
      </c>
      <c r="F204" t="inlineStr">
        <is>
          <t>VÄSTRA GÖTALANDS LÄN</t>
        </is>
      </c>
      <c r="G204" t="inlineStr">
        <is>
          <t>VÅRGÅRDA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7329-2025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45703</v>
      </c>
      <c r="E205" s="1" t="n">
        <v>46223</v>
      </c>
      <c r="F205" t="inlineStr">
        <is>
          <t>VÄSTRA GÖTALANDS LÄN</t>
        </is>
      </c>
      <c r="G205" t="inlineStr">
        <is>
          <t>VÅRGÅRDA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7680-2025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45706</v>
      </c>
      <c r="E206" s="1" t="n">
        <v>46223</v>
      </c>
      <c r="F206" t="inlineStr">
        <is>
          <t>VÄSTRA GÖTALANDS LÄN</t>
        </is>
      </c>
      <c r="G206" t="inlineStr">
        <is>
          <t>VÅRGÅRDA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5663-2025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45693</v>
      </c>
      <c r="E207" s="1" t="n">
        <v>46223</v>
      </c>
      <c r="F207" t="inlineStr">
        <is>
          <t>VÄSTRA GÖTALANDS LÄN</t>
        </is>
      </c>
      <c r="G207" t="inlineStr">
        <is>
          <t>VÅRGÅRDA</t>
        </is>
      </c>
      <c r="I207" t="n">
        <v>8.199999999999999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64234-2021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44510</v>
      </c>
      <c r="E208" s="1" t="n">
        <v>46223</v>
      </c>
      <c r="F208" t="inlineStr">
        <is>
          <t>VÄSTRA GÖTALANDS LÄN</t>
        </is>
      </c>
      <c r="G208" t="inlineStr">
        <is>
          <t>VÅRGÅRDA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1437-2026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46032</v>
      </c>
      <c r="E209" s="1" t="n">
        <v>46223</v>
      </c>
      <c r="F209" t="inlineStr">
        <is>
          <t>VÄSTRA GÖTALANDS LÄN</t>
        </is>
      </c>
      <c r="G209" t="inlineStr">
        <is>
          <t>VÅRGÅRDA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11777-2024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45374</v>
      </c>
      <c r="E210" s="1" t="n">
        <v>46223</v>
      </c>
      <c r="F210" t="inlineStr">
        <is>
          <t>VÄSTRA GÖTALANDS LÄN</t>
        </is>
      </c>
      <c r="G210" t="inlineStr">
        <is>
          <t>VÅRGÅRDA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11792-2024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45375</v>
      </c>
      <c r="E211" s="1" t="n">
        <v>46223</v>
      </c>
      <c r="F211" t="inlineStr">
        <is>
          <t>VÄSTRA GÖTALANDS LÄN</t>
        </is>
      </c>
      <c r="G211" t="inlineStr">
        <is>
          <t>VÅRGÅRDA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1427-2026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46031</v>
      </c>
      <c r="E212" s="1" t="n">
        <v>46223</v>
      </c>
      <c r="F212" t="inlineStr">
        <is>
          <t>VÄSTRA GÖTALANDS LÄN</t>
        </is>
      </c>
      <c r="G212" t="inlineStr">
        <is>
          <t>VÅRGÅRDA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1438-2026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46032</v>
      </c>
      <c r="E213" s="1" t="n">
        <v>46223</v>
      </c>
      <c r="F213" t="inlineStr">
        <is>
          <t>VÄSTRA GÖTALANDS LÄN</t>
        </is>
      </c>
      <c r="G213" t="inlineStr">
        <is>
          <t>VÅRGÅRDA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1277-2026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46031</v>
      </c>
      <c r="E214" s="1" t="n">
        <v>46223</v>
      </c>
      <c r="F214" t="inlineStr">
        <is>
          <t>VÄSTRA GÖTALANDS LÄN</t>
        </is>
      </c>
      <c r="G214" t="inlineStr">
        <is>
          <t>VÅRGÅRDA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55630-2025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45972</v>
      </c>
      <c r="E215" s="1" t="n">
        <v>46223</v>
      </c>
      <c r="F215" t="inlineStr">
        <is>
          <t>VÄSTRA GÖTALANDS LÄN</t>
        </is>
      </c>
      <c r="G215" t="inlineStr">
        <is>
          <t>VÅRGÅRDA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1513-2026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46034</v>
      </c>
      <c r="E216" s="1" t="n">
        <v>46223</v>
      </c>
      <c r="F216" t="inlineStr">
        <is>
          <t>VÄSTRA GÖTALANDS LÄN</t>
        </is>
      </c>
      <c r="G216" t="inlineStr">
        <is>
          <t>VÅRGÅRDA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64386-2021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44511</v>
      </c>
      <c r="E217" s="1" t="n">
        <v>46223</v>
      </c>
      <c r="F217" t="inlineStr">
        <is>
          <t>VÄSTRA GÖTALANDS LÄN</t>
        </is>
      </c>
      <c r="G217" t="inlineStr">
        <is>
          <t>VÅRGÅRDA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30280-2023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45110</v>
      </c>
      <c r="E218" s="1" t="n">
        <v>46223</v>
      </c>
      <c r="F218" t="inlineStr">
        <is>
          <t>VÄSTRA GÖTALANDS LÄN</t>
        </is>
      </c>
      <c r="G218" t="inlineStr">
        <is>
          <t>VÅRGÅRDA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9086-2024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45357</v>
      </c>
      <c r="E219" s="1" t="n">
        <v>46223</v>
      </c>
      <c r="F219" t="inlineStr">
        <is>
          <t>VÄSTRA GÖTALANDS LÄN</t>
        </is>
      </c>
      <c r="G219" t="inlineStr">
        <is>
          <t>VÅRGÅRDA</t>
        </is>
      </c>
      <c r="I219" t="n">
        <v>5.8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9089-2024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45357</v>
      </c>
      <c r="E220" s="1" t="n">
        <v>46223</v>
      </c>
      <c r="F220" t="inlineStr">
        <is>
          <t>VÄSTRA GÖTALANDS LÄN</t>
        </is>
      </c>
      <c r="G220" t="inlineStr">
        <is>
          <t>VÅRGÅRDA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1880-2026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46035</v>
      </c>
      <c r="E221" s="1" t="n">
        <v>46223</v>
      </c>
      <c r="F221" t="inlineStr">
        <is>
          <t>VÄSTRA GÖTALANDS LÄN</t>
        </is>
      </c>
      <c r="G221" t="inlineStr">
        <is>
          <t>VÅRGÅRDA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15380-2026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46106</v>
      </c>
      <c r="E222" s="1" t="n">
        <v>46223</v>
      </c>
      <c r="F222" t="inlineStr">
        <is>
          <t>VÄSTRA GÖTALANDS LÄN</t>
        </is>
      </c>
      <c r="G222" t="inlineStr">
        <is>
          <t>VÅRGÅRDA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2411-2026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46036</v>
      </c>
      <c r="E223" s="1" t="n">
        <v>46223</v>
      </c>
      <c r="F223" t="inlineStr">
        <is>
          <t>VÄSTRA GÖTALANDS LÄN</t>
        </is>
      </c>
      <c r="G223" t="inlineStr">
        <is>
          <t>VÅRGÅRDA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1860-2026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46035</v>
      </c>
      <c r="E224" s="1" t="n">
        <v>46223</v>
      </c>
      <c r="F224" t="inlineStr">
        <is>
          <t>VÄSTRA GÖTALANDS LÄN</t>
        </is>
      </c>
      <c r="G224" t="inlineStr">
        <is>
          <t>VÅRGÅRDA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2410-2026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46036</v>
      </c>
      <c r="E225" s="1" t="n">
        <v>46223</v>
      </c>
      <c r="F225" t="inlineStr">
        <is>
          <t>VÄSTRA GÖTALANDS LÄN</t>
        </is>
      </c>
      <c r="G225" t="inlineStr">
        <is>
          <t>VÅRGÅRDA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21232-2023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45062</v>
      </c>
      <c r="E226" s="1" t="n">
        <v>46223</v>
      </c>
      <c r="F226" t="inlineStr">
        <is>
          <t>VÄSTRA GÖTALANDS LÄN</t>
        </is>
      </c>
      <c r="G226" t="inlineStr">
        <is>
          <t>VÅRGÅRDA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3012-2026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46038</v>
      </c>
      <c r="E227" s="1" t="n">
        <v>46223</v>
      </c>
      <c r="F227" t="inlineStr">
        <is>
          <t>VÄSTRA GÖTALANDS LÄN</t>
        </is>
      </c>
      <c r="G227" t="inlineStr">
        <is>
          <t>VÅRGÅRDA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2431-2026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46036</v>
      </c>
      <c r="E228" s="1" t="n">
        <v>46223</v>
      </c>
      <c r="F228" t="inlineStr">
        <is>
          <t>VÄSTRA GÖTALANDS LÄN</t>
        </is>
      </c>
      <c r="G228" t="inlineStr">
        <is>
          <t>VÅRGÅRDA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3010-2026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46038</v>
      </c>
      <c r="E229" s="1" t="n">
        <v>46223</v>
      </c>
      <c r="F229" t="inlineStr">
        <is>
          <t>VÄSTRA GÖTALANDS LÄN</t>
        </is>
      </c>
      <c r="G229" t="inlineStr">
        <is>
          <t>VÅRGÅRDA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2430-2026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46036</v>
      </c>
      <c r="E230" s="1" t="n">
        <v>46223</v>
      </c>
      <c r="F230" t="inlineStr">
        <is>
          <t>VÄSTRA GÖTALANDS LÄN</t>
        </is>
      </c>
      <c r="G230" t="inlineStr">
        <is>
          <t>VÅRGÅRDA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2432-2026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46036</v>
      </c>
      <c r="E231" s="1" t="n">
        <v>46223</v>
      </c>
      <c r="F231" t="inlineStr">
        <is>
          <t>VÄSTRA GÖTALANDS LÄN</t>
        </is>
      </c>
      <c r="G231" t="inlineStr">
        <is>
          <t>VÅRGÅRDA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22202-2024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45446</v>
      </c>
      <c r="E232" s="1" t="n">
        <v>46223</v>
      </c>
      <c r="F232" t="inlineStr">
        <is>
          <t>VÄSTRA GÖTALANDS LÄN</t>
        </is>
      </c>
      <c r="G232" t="inlineStr">
        <is>
          <t>VÅRGÅRDA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60380-2022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44910</v>
      </c>
      <c r="E233" s="1" t="n">
        <v>46223</v>
      </c>
      <c r="F233" t="inlineStr">
        <is>
          <t>VÄSTRA GÖTALANDS LÄN</t>
        </is>
      </c>
      <c r="G233" t="inlineStr">
        <is>
          <t>VÅRGÅRDA</t>
        </is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17057-2026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46114</v>
      </c>
      <c r="E234" s="1" t="n">
        <v>46223</v>
      </c>
      <c r="F234" t="inlineStr">
        <is>
          <t>VÄSTRA GÖTALANDS LÄN</t>
        </is>
      </c>
      <c r="G234" t="inlineStr">
        <is>
          <t>VÅRGÅRDA</t>
        </is>
      </c>
      <c r="H234" t="inlineStr">
        <is>
          <t>Sveaskog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17058-2026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46114</v>
      </c>
      <c r="E235" s="1" t="n">
        <v>46223</v>
      </c>
      <c r="F235" t="inlineStr">
        <is>
          <t>VÄSTRA GÖTALANDS LÄN</t>
        </is>
      </c>
      <c r="G235" t="inlineStr">
        <is>
          <t>VÅRGÅRDA</t>
        </is>
      </c>
      <c r="H235" t="inlineStr">
        <is>
          <t>Sveaskog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33939-2023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45134</v>
      </c>
      <c r="E236" s="1" t="n">
        <v>46223</v>
      </c>
      <c r="F236" t="inlineStr">
        <is>
          <t>VÄSTRA GÖTALANDS LÄN</t>
        </is>
      </c>
      <c r="G236" t="inlineStr">
        <is>
          <t>VÅRGÅRDA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9642-2025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45715</v>
      </c>
      <c r="E237" s="1" t="n">
        <v>46223</v>
      </c>
      <c r="F237" t="inlineStr">
        <is>
          <t>VÄSTRA GÖTALANDS LÄN</t>
        </is>
      </c>
      <c r="G237" t="inlineStr">
        <is>
          <t>VÅRGÅRDA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17983-2026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46124</v>
      </c>
      <c r="E238" s="1" t="n">
        <v>46223</v>
      </c>
      <c r="F238" t="inlineStr">
        <is>
          <t>VÄSTRA GÖTALANDS LÄN</t>
        </is>
      </c>
      <c r="G238" t="inlineStr">
        <is>
          <t>VÅRGÅRDA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17984-2026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46124</v>
      </c>
      <c r="E239" s="1" t="n">
        <v>46223</v>
      </c>
      <c r="F239" t="inlineStr">
        <is>
          <t>VÄSTRA GÖTALANDS LÄN</t>
        </is>
      </c>
      <c r="G239" t="inlineStr">
        <is>
          <t>VÅRGÅRDA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17985-2026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46124</v>
      </c>
      <c r="E240" s="1" t="n">
        <v>46223</v>
      </c>
      <c r="F240" t="inlineStr">
        <is>
          <t>VÄSTRA GÖTALANDS LÄN</t>
        </is>
      </c>
      <c r="G240" t="inlineStr">
        <is>
          <t>VÅRGÅRDA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17986-2026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46124</v>
      </c>
      <c r="E241" s="1" t="n">
        <v>46223</v>
      </c>
      <c r="F241" t="inlineStr">
        <is>
          <t>VÄSTRA GÖTALANDS LÄN</t>
        </is>
      </c>
      <c r="G241" t="inlineStr">
        <is>
          <t>VÅRGÅRDA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18071-2026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46125</v>
      </c>
      <c r="E242" s="1" t="n">
        <v>46223</v>
      </c>
      <c r="F242" t="inlineStr">
        <is>
          <t>VÄSTRA GÖTALANDS LÄN</t>
        </is>
      </c>
      <c r="G242" t="inlineStr">
        <is>
          <t>VÅRGÅRDA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17951-2023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45040</v>
      </c>
      <c r="E243" s="1" t="n">
        <v>46223</v>
      </c>
      <c r="F243" t="inlineStr">
        <is>
          <t>VÄSTRA GÖTALANDS LÄN</t>
        </is>
      </c>
      <c r="G243" t="inlineStr">
        <is>
          <t>VÅRGÅRDA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17972-2023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45040</v>
      </c>
      <c r="E244" s="1" t="n">
        <v>46223</v>
      </c>
      <c r="F244" t="inlineStr">
        <is>
          <t>VÄSTRA GÖTALANDS LÄN</t>
        </is>
      </c>
      <c r="G244" t="inlineStr">
        <is>
          <t>VÅRGÅRDA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66386-2021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44518</v>
      </c>
      <c r="E245" s="1" t="n">
        <v>46223</v>
      </c>
      <c r="F245" t="inlineStr">
        <is>
          <t>VÄSTRA GÖTALANDS LÄN</t>
        </is>
      </c>
      <c r="G245" t="inlineStr">
        <is>
          <t>VÅRGÅRDA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18249-2026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46126</v>
      </c>
      <c r="E246" s="1" t="n">
        <v>46223</v>
      </c>
      <c r="F246" t="inlineStr">
        <is>
          <t>VÄSTRA GÖTALANDS LÄN</t>
        </is>
      </c>
      <c r="G246" t="inlineStr">
        <is>
          <t>VÅRGÅRDA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18461-2026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46127</v>
      </c>
      <c r="E247" s="1" t="n">
        <v>46223</v>
      </c>
      <c r="F247" t="inlineStr">
        <is>
          <t>VÄSTRA GÖTALANDS LÄN</t>
        </is>
      </c>
      <c r="G247" t="inlineStr">
        <is>
          <t>VÅRGÅRDA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18332-2026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46126</v>
      </c>
      <c r="E248" s="1" t="n">
        <v>46223</v>
      </c>
      <c r="F248" t="inlineStr">
        <is>
          <t>VÄSTRA GÖTALANDS LÄN</t>
        </is>
      </c>
      <c r="G248" t="inlineStr">
        <is>
          <t>VÅRGÅRDA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18423-2026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46126</v>
      </c>
      <c r="E249" s="1" t="n">
        <v>46223</v>
      </c>
      <c r="F249" t="inlineStr">
        <is>
          <t>VÄSTRA GÖTALANDS LÄN</t>
        </is>
      </c>
      <c r="G249" t="inlineStr">
        <is>
          <t>VÅRGÅRDA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4550-2024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45327</v>
      </c>
      <c r="E250" s="1" t="n">
        <v>46223</v>
      </c>
      <c r="F250" t="inlineStr">
        <is>
          <t>VÄSTRA GÖTALANDS LÄN</t>
        </is>
      </c>
      <c r="G250" t="inlineStr">
        <is>
          <t>VÅRGÅRDA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44668-2023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45189</v>
      </c>
      <c r="E251" s="1" t="n">
        <v>46223</v>
      </c>
      <c r="F251" t="inlineStr">
        <is>
          <t>VÄSTRA GÖTALANDS LÄN</t>
        </is>
      </c>
      <c r="G251" t="inlineStr">
        <is>
          <t>VÅRGÅRDA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42330-2023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45180</v>
      </c>
      <c r="E252" s="1" t="n">
        <v>46223</v>
      </c>
      <c r="F252" t="inlineStr">
        <is>
          <t>VÄSTRA GÖTALANDS LÄN</t>
        </is>
      </c>
      <c r="G252" t="inlineStr">
        <is>
          <t>VÅRGÅRDA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19513-2026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46134</v>
      </c>
      <c r="E253" s="1" t="n">
        <v>46223</v>
      </c>
      <c r="F253" t="inlineStr">
        <is>
          <t>VÄSTRA GÖTALANDS LÄN</t>
        </is>
      </c>
      <c r="G253" t="inlineStr">
        <is>
          <t>VÅRGÅRDA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19511-2026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46134</v>
      </c>
      <c r="E254" s="1" t="n">
        <v>46223</v>
      </c>
      <c r="F254" t="inlineStr">
        <is>
          <t>VÄSTRA GÖTALANDS LÄN</t>
        </is>
      </c>
      <c r="G254" t="inlineStr">
        <is>
          <t>VÅRGÅRDA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19293-2026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46133</v>
      </c>
      <c r="E255" s="1" t="n">
        <v>46223</v>
      </c>
      <c r="F255" t="inlineStr">
        <is>
          <t>VÄSTRA GÖTALANDS LÄN</t>
        </is>
      </c>
      <c r="G255" t="inlineStr">
        <is>
          <t>VÅRGÅRDA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19794-2026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46135</v>
      </c>
      <c r="E256" s="1" t="n">
        <v>46223</v>
      </c>
      <c r="F256" t="inlineStr">
        <is>
          <t>VÄSTRA GÖTALANDS LÄN</t>
        </is>
      </c>
      <c r="G256" t="inlineStr">
        <is>
          <t>VÅRGÅRDA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7734-2022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44608</v>
      </c>
      <c r="E257" s="1" t="n">
        <v>46223</v>
      </c>
      <c r="F257" t="inlineStr">
        <is>
          <t>VÄSTRA GÖTALANDS LÄN</t>
        </is>
      </c>
      <c r="G257" t="inlineStr">
        <is>
          <t>VÅRGÅRDA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41590-2025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45901</v>
      </c>
      <c r="E258" s="1" t="n">
        <v>46223</v>
      </c>
      <c r="F258" t="inlineStr">
        <is>
          <t>VÄSTRA GÖTALANDS LÄN</t>
        </is>
      </c>
      <c r="G258" t="inlineStr">
        <is>
          <t>VÅRGÅRDA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22386-2024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45446</v>
      </c>
      <c r="E259" s="1" t="n">
        <v>46223</v>
      </c>
      <c r="F259" t="inlineStr">
        <is>
          <t>VÄSTRA GÖTALANDS LÄN</t>
        </is>
      </c>
      <c r="G259" t="inlineStr">
        <is>
          <t>VÅRGÅRDA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59684-2022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44908</v>
      </c>
      <c r="E260" s="1" t="n">
        <v>46223</v>
      </c>
      <c r="F260" t="inlineStr">
        <is>
          <t>VÄSTRA GÖTALANDS LÄN</t>
        </is>
      </c>
      <c r="G260" t="inlineStr">
        <is>
          <t>VÅRGÅRDA</t>
        </is>
      </c>
      <c r="H260" t="inlineStr">
        <is>
          <t>Sveaskog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61969-2022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44914</v>
      </c>
      <c r="E261" s="1" t="n">
        <v>46223</v>
      </c>
      <c r="F261" t="inlineStr">
        <is>
          <t>VÄSTRA GÖTALANDS LÄN</t>
        </is>
      </c>
      <c r="G261" t="inlineStr">
        <is>
          <t>VÅRGÅRDA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47583-2024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45587</v>
      </c>
      <c r="E262" s="1" t="n">
        <v>46223</v>
      </c>
      <c r="F262" t="inlineStr">
        <is>
          <t>VÄSTRA GÖTALANDS LÄN</t>
        </is>
      </c>
      <c r="G262" t="inlineStr">
        <is>
          <t>VÅRGÅRDA</t>
        </is>
      </c>
      <c r="H262" t="inlineStr">
        <is>
          <t>Kyrkan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14655-2022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44655</v>
      </c>
      <c r="E263" s="1" t="n">
        <v>46223</v>
      </c>
      <c r="F263" t="inlineStr">
        <is>
          <t>VÄSTRA GÖTALANDS LÄN</t>
        </is>
      </c>
      <c r="G263" t="inlineStr">
        <is>
          <t>VÅRGÅRDA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627-2022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44568</v>
      </c>
      <c r="E264" s="1" t="n">
        <v>46223</v>
      </c>
      <c r="F264" t="inlineStr">
        <is>
          <t>VÄSTRA GÖTALANDS LÄN</t>
        </is>
      </c>
      <c r="G264" t="inlineStr">
        <is>
          <t>VÅRGÅRDA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16121-2024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45406</v>
      </c>
      <c r="E265" s="1" t="n">
        <v>46223</v>
      </c>
      <c r="F265" t="inlineStr">
        <is>
          <t>VÄSTRA GÖTALANDS LÄN</t>
        </is>
      </c>
      <c r="G265" t="inlineStr">
        <is>
          <t>VÅRGÅRDA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58866-2025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45987</v>
      </c>
      <c r="E266" s="1" t="n">
        <v>46223</v>
      </c>
      <c r="F266" t="inlineStr">
        <is>
          <t>VÄSTRA GÖTALANDS LÄN</t>
        </is>
      </c>
      <c r="G266" t="inlineStr">
        <is>
          <t>VÅRGÅRDA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8456-2024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45354</v>
      </c>
      <c r="E267" s="1" t="n">
        <v>46223</v>
      </c>
      <c r="F267" t="inlineStr">
        <is>
          <t>VÄSTRA GÖTALANDS LÄN</t>
        </is>
      </c>
      <c r="G267" t="inlineStr">
        <is>
          <t>VÅRGÅRDA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55972-2023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45233</v>
      </c>
      <c r="E268" s="1" t="n">
        <v>46223</v>
      </c>
      <c r="F268" t="inlineStr">
        <is>
          <t>VÄSTRA GÖTALANDS LÄN</t>
        </is>
      </c>
      <c r="G268" t="inlineStr">
        <is>
          <t>VÅRGÅRDA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2416-2026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46036</v>
      </c>
      <c r="E269" s="1" t="n">
        <v>46223</v>
      </c>
      <c r="F269" t="inlineStr">
        <is>
          <t>VÄSTRA GÖTALANDS LÄN</t>
        </is>
      </c>
      <c r="G269" t="inlineStr">
        <is>
          <t>VÅRGÅRDA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60589-2023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45260</v>
      </c>
      <c r="E270" s="1" t="n">
        <v>46223</v>
      </c>
      <c r="F270" t="inlineStr">
        <is>
          <t>VÄSTRA GÖTALANDS LÄN</t>
        </is>
      </c>
      <c r="G270" t="inlineStr">
        <is>
          <t>VÅRGÅRDA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946-2026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46030</v>
      </c>
      <c r="E271" s="1" t="n">
        <v>46223</v>
      </c>
      <c r="F271" t="inlineStr">
        <is>
          <t>VÄSTRA GÖTALANDS LÄN</t>
        </is>
      </c>
      <c r="G271" t="inlineStr">
        <is>
          <t>VÅRGÅRDA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46747-2023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45198</v>
      </c>
      <c r="E272" s="1" t="n">
        <v>46223</v>
      </c>
      <c r="F272" t="inlineStr">
        <is>
          <t>VÄSTRA GÖTALANDS LÄN</t>
        </is>
      </c>
      <c r="G272" t="inlineStr">
        <is>
          <t>VÅRGÅRDA</t>
        </is>
      </c>
      <c r="H272" t="inlineStr">
        <is>
          <t>Kyrkan</t>
        </is>
      </c>
      <c r="I272" t="n">
        <v>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46736-2023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45198</v>
      </c>
      <c r="E273" s="1" t="n">
        <v>46223</v>
      </c>
      <c r="F273" t="inlineStr">
        <is>
          <t>VÄSTRA GÖTALANDS LÄN</t>
        </is>
      </c>
      <c r="G273" t="inlineStr">
        <is>
          <t>VÅRGÅRDA</t>
        </is>
      </c>
      <c r="H273" t="inlineStr">
        <is>
          <t>Kyrkan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17201-2025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45756</v>
      </c>
      <c r="E274" s="1" t="n">
        <v>46223</v>
      </c>
      <c r="F274" t="inlineStr">
        <is>
          <t>VÄSTRA GÖTALANDS LÄN</t>
        </is>
      </c>
      <c r="G274" t="inlineStr">
        <is>
          <t>VÅRGÅRDA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53213-2024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45612</v>
      </c>
      <c r="E275" s="1" t="n">
        <v>46223</v>
      </c>
      <c r="F275" t="inlineStr">
        <is>
          <t>VÄSTRA GÖTALANDS LÄN</t>
        </is>
      </c>
      <c r="G275" t="inlineStr">
        <is>
          <t>VÅRGÅRDA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20022-2025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45772</v>
      </c>
      <c r="E276" s="1" t="n">
        <v>46223</v>
      </c>
      <c r="F276" t="inlineStr">
        <is>
          <t>VÄSTRA GÖTALANDS LÄN</t>
        </is>
      </c>
      <c r="G276" t="inlineStr">
        <is>
          <t>VÅRGÅRDA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9633-2024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45362</v>
      </c>
      <c r="E277" s="1" t="n">
        <v>46223</v>
      </c>
      <c r="F277" t="inlineStr">
        <is>
          <t>VÄSTRA GÖTALANDS LÄN</t>
        </is>
      </c>
      <c r="G277" t="inlineStr">
        <is>
          <t>VÅRGÅRDA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59619-2022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44907</v>
      </c>
      <c r="E278" s="1" t="n">
        <v>46223</v>
      </c>
      <c r="F278" t="inlineStr">
        <is>
          <t>VÄSTRA GÖTALANDS LÄN</t>
        </is>
      </c>
      <c r="G278" t="inlineStr">
        <is>
          <t>VÅRGÅRDA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16280-2025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45751</v>
      </c>
      <c r="E279" s="1" t="n">
        <v>46223</v>
      </c>
      <c r="F279" t="inlineStr">
        <is>
          <t>VÄSTRA GÖTALANDS LÄN</t>
        </is>
      </c>
      <c r="G279" t="inlineStr">
        <is>
          <t>VÅRGÅRDA</t>
        </is>
      </c>
      <c r="H279" t="inlineStr">
        <is>
          <t>Sveaskog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37653-2023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45159</v>
      </c>
      <c r="E280" s="1" t="n">
        <v>46223</v>
      </c>
      <c r="F280" t="inlineStr">
        <is>
          <t>VÄSTRA GÖTALANDS LÄN</t>
        </is>
      </c>
      <c r="G280" t="inlineStr">
        <is>
          <t>VÅRGÅRDA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13397-2025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45735</v>
      </c>
      <c r="E281" s="1" t="n">
        <v>46223</v>
      </c>
      <c r="F281" t="inlineStr">
        <is>
          <t>VÄSTRA GÖTALANDS LÄN</t>
        </is>
      </c>
      <c r="G281" t="inlineStr">
        <is>
          <t>VÅRGÅRDA</t>
        </is>
      </c>
      <c r="I281" t="n">
        <v>7.1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17199-2025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45756</v>
      </c>
      <c r="E282" s="1" t="n">
        <v>46223</v>
      </c>
      <c r="F282" t="inlineStr">
        <is>
          <t>VÄSTRA GÖTALANDS LÄN</t>
        </is>
      </c>
      <c r="G282" t="inlineStr">
        <is>
          <t>VÅRGÅRDA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1005-2024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45301</v>
      </c>
      <c r="E283" s="1" t="n">
        <v>46223</v>
      </c>
      <c r="F283" t="inlineStr">
        <is>
          <t>VÄSTRA GÖTALANDS LÄN</t>
        </is>
      </c>
      <c r="G283" t="inlineStr">
        <is>
          <t>VÅRGÅRDA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3057-2023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44946</v>
      </c>
      <c r="E284" s="1" t="n">
        <v>46223</v>
      </c>
      <c r="F284" t="inlineStr">
        <is>
          <t>VÄSTRA GÖTALANDS LÄN</t>
        </is>
      </c>
      <c r="G284" t="inlineStr">
        <is>
          <t>VÅRGÅRDA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6003-2023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44964</v>
      </c>
      <c r="E285" s="1" t="n">
        <v>46223</v>
      </c>
      <c r="F285" t="inlineStr">
        <is>
          <t>VÄSTRA GÖTALANDS LÄN</t>
        </is>
      </c>
      <c r="G285" t="inlineStr">
        <is>
          <t>VÅRGÅRDA</t>
        </is>
      </c>
      <c r="H285" t="inlineStr">
        <is>
          <t>Sveaskog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16169-2024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45406</v>
      </c>
      <c r="E286" s="1" t="n">
        <v>46223</v>
      </c>
      <c r="F286" t="inlineStr">
        <is>
          <t>VÄSTRA GÖTALANDS LÄN</t>
        </is>
      </c>
      <c r="G286" t="inlineStr">
        <is>
          <t>VÅRGÅRDA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48595-2021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44452</v>
      </c>
      <c r="E287" s="1" t="n">
        <v>46223</v>
      </c>
      <c r="F287" t="inlineStr">
        <is>
          <t>VÄSTRA GÖTALANDS LÄN</t>
        </is>
      </c>
      <c r="G287" t="inlineStr">
        <is>
          <t>VÅRGÅRDA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28482-2026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46197</v>
      </c>
      <c r="E288" s="1" t="n">
        <v>46223</v>
      </c>
      <c r="F288" t="inlineStr">
        <is>
          <t>VÄSTRA GÖTALANDS LÄN</t>
        </is>
      </c>
      <c r="G288" t="inlineStr">
        <is>
          <t>VÅRGÅRDA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42359-2023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45180</v>
      </c>
      <c r="E289" s="1" t="n">
        <v>46223</v>
      </c>
      <c r="F289" t="inlineStr">
        <is>
          <t>VÄSTRA GÖTALANDS LÄN</t>
        </is>
      </c>
      <c r="G289" t="inlineStr">
        <is>
          <t>VÅRGÅRDA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9749-2023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44984</v>
      </c>
      <c r="E290" s="1" t="n">
        <v>46223</v>
      </c>
      <c r="F290" t="inlineStr">
        <is>
          <t>VÄSTRA GÖTALANDS LÄN</t>
        </is>
      </c>
      <c r="G290" t="inlineStr">
        <is>
          <t>VÅRGÅRDA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9898-2024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45363</v>
      </c>
      <c r="E291" s="1" t="n">
        <v>46223</v>
      </c>
      <c r="F291" t="inlineStr">
        <is>
          <t>VÄSTRA GÖTALANDS LÄN</t>
        </is>
      </c>
      <c r="G291" t="inlineStr">
        <is>
          <t>VÅRGÅRDA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29612-2026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46199</v>
      </c>
      <c r="E292" s="1" t="n">
        <v>46223</v>
      </c>
      <c r="F292" t="inlineStr">
        <is>
          <t>VÄSTRA GÖTALANDS LÄN</t>
        </is>
      </c>
      <c r="G292" t="inlineStr">
        <is>
          <t>VÅRGÅRDA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57167-2022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44895</v>
      </c>
      <c r="E293" s="1" t="n">
        <v>46223</v>
      </c>
      <c r="F293" t="inlineStr">
        <is>
          <t>VÄSTRA GÖTALANDS LÄN</t>
        </is>
      </c>
      <c r="G293" t="inlineStr">
        <is>
          <t>VÅRGÅRDA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62148-2022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44922</v>
      </c>
      <c r="E294" s="1" t="n">
        <v>46223</v>
      </c>
      <c r="F294" t="inlineStr">
        <is>
          <t>VÄSTRA GÖTALANDS LÄN</t>
        </is>
      </c>
      <c r="G294" t="inlineStr">
        <is>
          <t>VÅRGÅRDA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29926-2026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46205</v>
      </c>
      <c r="E295" s="1" t="n">
        <v>46223</v>
      </c>
      <c r="F295" t="inlineStr">
        <is>
          <t>VÄSTRA GÖTALANDS LÄN</t>
        </is>
      </c>
      <c r="G295" t="inlineStr">
        <is>
          <t>VÅRGÅRDA</t>
        </is>
      </c>
      <c r="I295" t="n">
        <v>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29918-2026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46205</v>
      </c>
      <c r="E296" s="1" t="n">
        <v>46223</v>
      </c>
      <c r="F296" t="inlineStr">
        <is>
          <t>VÄSTRA GÖTALANDS LÄN</t>
        </is>
      </c>
      <c r="G296" t="inlineStr">
        <is>
          <t>VÅRGÅRDA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50945-2023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45210</v>
      </c>
      <c r="E297" s="1" t="n">
        <v>46223</v>
      </c>
      <c r="F297" t="inlineStr">
        <is>
          <t>VÄSTRA GÖTALANDS LÄN</t>
        </is>
      </c>
      <c r="G297" t="inlineStr">
        <is>
          <t>VÅRGÅRDA</t>
        </is>
      </c>
      <c r="H297" t="inlineStr">
        <is>
          <t>Allmännings- och besparingsskogar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19391-2024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45429</v>
      </c>
      <c r="E298" s="1" t="n">
        <v>46223</v>
      </c>
      <c r="F298" t="inlineStr">
        <is>
          <t>VÄSTRA GÖTALANDS LÄN</t>
        </is>
      </c>
      <c r="G298" t="inlineStr">
        <is>
          <t>VÅRGÅRDA</t>
        </is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19394-2024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45429</v>
      </c>
      <c r="E299" s="1" t="n">
        <v>46223</v>
      </c>
      <c r="F299" t="inlineStr">
        <is>
          <t>VÄSTRA GÖTALANDS LÄN</t>
        </is>
      </c>
      <c r="G299" t="inlineStr">
        <is>
          <t>VÅRGÅRDA</t>
        </is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58049-2023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45247</v>
      </c>
      <c r="E300" s="1" t="n">
        <v>46223</v>
      </c>
      <c r="F300" t="inlineStr">
        <is>
          <t>VÄSTRA GÖTALANDS LÄN</t>
        </is>
      </c>
      <c r="G300" t="inlineStr">
        <is>
          <t>VÅRGÅRDA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11797-2024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45375</v>
      </c>
      <c r="E301" s="1" t="n">
        <v>46223</v>
      </c>
      <c r="F301" t="inlineStr">
        <is>
          <t>VÄSTRA GÖTALANDS LÄN</t>
        </is>
      </c>
      <c r="G301" t="inlineStr">
        <is>
          <t>VÅRGÅRDA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54991-2024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45620</v>
      </c>
      <c r="E302" s="1" t="n">
        <v>46223</v>
      </c>
      <c r="F302" t="inlineStr">
        <is>
          <t>VÄSTRA GÖTALANDS LÄN</t>
        </is>
      </c>
      <c r="G302" t="inlineStr">
        <is>
          <t>VÅRGÅRDA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54097-2024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45616</v>
      </c>
      <c r="E303" s="1" t="n">
        <v>46223</v>
      </c>
      <c r="F303" t="inlineStr">
        <is>
          <t>VÄSTRA GÖTALANDS LÄN</t>
        </is>
      </c>
      <c r="G303" t="inlineStr">
        <is>
          <t>VÅRGÅRDA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4065-2023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44952</v>
      </c>
      <c r="E304" s="1" t="n">
        <v>46223</v>
      </c>
      <c r="F304" t="inlineStr">
        <is>
          <t>VÄSTRA GÖTALANDS LÄN</t>
        </is>
      </c>
      <c r="G304" t="inlineStr">
        <is>
          <t>VÅRGÅRDA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44431-2023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45189</v>
      </c>
      <c r="E305" s="1" t="n">
        <v>46223</v>
      </c>
      <c r="F305" t="inlineStr">
        <is>
          <t>VÄSTRA GÖTALANDS LÄN</t>
        </is>
      </c>
      <c r="G305" t="inlineStr">
        <is>
          <t>VÅRGÅRDA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52016-2021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44463</v>
      </c>
      <c r="E306" s="1" t="n">
        <v>46223</v>
      </c>
      <c r="F306" t="inlineStr">
        <is>
          <t>VÄSTRA GÖTALANDS LÄN</t>
        </is>
      </c>
      <c r="G306" t="inlineStr">
        <is>
          <t>VÅRGÅRDA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30671-2026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46211</v>
      </c>
      <c r="E307" s="1" t="n">
        <v>46223</v>
      </c>
      <c r="F307" t="inlineStr">
        <is>
          <t>VÄSTRA GÖTALANDS LÄN</t>
        </is>
      </c>
      <c r="G307" t="inlineStr">
        <is>
          <t>VÅRGÅRDA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24782-2026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46170</v>
      </c>
      <c r="E308" s="1" t="n">
        <v>46223</v>
      </c>
      <c r="F308" t="inlineStr">
        <is>
          <t>VÄSTRA GÖTALANDS LÄN</t>
        </is>
      </c>
      <c r="G308" t="inlineStr">
        <is>
          <t>VÅRGÅRDA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24777-2026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46170</v>
      </c>
      <c r="E309" s="1" t="n">
        <v>46223</v>
      </c>
      <c r="F309" t="inlineStr">
        <is>
          <t>VÄSTRA GÖTALANDS LÄN</t>
        </is>
      </c>
      <c r="G309" t="inlineStr">
        <is>
          <t>VÅRGÅRDA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24760-2026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46170</v>
      </c>
      <c r="E310" s="1" t="n">
        <v>46223</v>
      </c>
      <c r="F310" t="inlineStr">
        <is>
          <t>VÄSTRA GÖTALANDS LÄN</t>
        </is>
      </c>
      <c r="G310" t="inlineStr">
        <is>
          <t>VÅRGÅRDA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24479-2026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46170</v>
      </c>
      <c r="E311" s="1" t="n">
        <v>46223</v>
      </c>
      <c r="F311" t="inlineStr">
        <is>
          <t>VÄSTRA GÖTALANDS LÄN</t>
        </is>
      </c>
      <c r="G311" t="inlineStr">
        <is>
          <t>VÅRGÅRDA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55240-2023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45237</v>
      </c>
      <c r="E312" s="1" t="n">
        <v>46223</v>
      </c>
      <c r="F312" t="inlineStr">
        <is>
          <t>VÄSTRA GÖTALANDS LÄN</t>
        </is>
      </c>
      <c r="G312" t="inlineStr">
        <is>
          <t>VÅRGÅRDA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616-2025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45664</v>
      </c>
      <c r="E313" s="1" t="n">
        <v>46223</v>
      </c>
      <c r="F313" t="inlineStr">
        <is>
          <t>VÄSTRA GÖTALANDS LÄN</t>
        </is>
      </c>
      <c r="G313" t="inlineStr">
        <is>
          <t>VÅRGÅRDA</t>
        </is>
      </c>
      <c r="I313" t="n">
        <v>10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48718-2023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45208</v>
      </c>
      <c r="E314" s="1" t="n">
        <v>46223</v>
      </c>
      <c r="F314" t="inlineStr">
        <is>
          <t>VÄSTRA GÖTALANDS LÄN</t>
        </is>
      </c>
      <c r="G314" t="inlineStr">
        <is>
          <t>VÅRGÅRDA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24481-2026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46170</v>
      </c>
      <c r="E315" s="1" t="n">
        <v>46223</v>
      </c>
      <c r="F315" t="inlineStr">
        <is>
          <t>VÄSTRA GÖTALANDS LÄN</t>
        </is>
      </c>
      <c r="G315" t="inlineStr">
        <is>
          <t>VÅRGÅRDA</t>
        </is>
      </c>
      <c r="I315" t="n">
        <v>6.4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24611-2023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45084</v>
      </c>
      <c r="E316" s="1" t="n">
        <v>46223</v>
      </c>
      <c r="F316" t="inlineStr">
        <is>
          <t>VÄSTRA GÖTALANDS LÄN</t>
        </is>
      </c>
      <c r="G316" t="inlineStr">
        <is>
          <t>VÅRGÅRDA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7047-2023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44968</v>
      </c>
      <c r="E317" s="1" t="n">
        <v>46223</v>
      </c>
      <c r="F317" t="inlineStr">
        <is>
          <t>VÄSTRA GÖTALANDS LÄN</t>
        </is>
      </c>
      <c r="G317" t="inlineStr">
        <is>
          <t>VÅRGÅRDA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63073-2023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45273</v>
      </c>
      <c r="E318" s="1" t="n">
        <v>46223</v>
      </c>
      <c r="F318" t="inlineStr">
        <is>
          <t>VÄSTRA GÖTALANDS LÄN</t>
        </is>
      </c>
      <c r="G318" t="inlineStr">
        <is>
          <t>VÅRGÅRDA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25875-2026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46178</v>
      </c>
      <c r="E319" s="1" t="n">
        <v>46223</v>
      </c>
      <c r="F319" t="inlineStr">
        <is>
          <t>VÄSTRA GÖTALANDS LÄN</t>
        </is>
      </c>
      <c r="G319" t="inlineStr">
        <is>
          <t>VÅRGÅRDA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14787-2024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45397</v>
      </c>
      <c r="E320" s="1" t="n">
        <v>46223</v>
      </c>
      <c r="F320" t="inlineStr">
        <is>
          <t>VÄSTRA GÖTALANDS LÄN</t>
        </is>
      </c>
      <c r="G320" t="inlineStr">
        <is>
          <t>VÅRGÅRDA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14789-2024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45397</v>
      </c>
      <c r="E321" s="1" t="n">
        <v>46223</v>
      </c>
      <c r="F321" t="inlineStr">
        <is>
          <t>VÄSTRA GÖTALANDS LÄN</t>
        </is>
      </c>
      <c r="G321" t="inlineStr">
        <is>
          <t>VÅRGÅRDA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26362-2024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45469</v>
      </c>
      <c r="E322" s="1" t="n">
        <v>46223</v>
      </c>
      <c r="F322" t="inlineStr">
        <is>
          <t>VÄSTRA GÖTALANDS LÄN</t>
        </is>
      </c>
      <c r="G322" t="inlineStr">
        <is>
          <t>VÅRGÅRDA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44669-2023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45189</v>
      </c>
      <c r="E323" s="1" t="n">
        <v>46223</v>
      </c>
      <c r="F323" t="inlineStr">
        <is>
          <t>VÄSTRA GÖTALANDS LÄN</t>
        </is>
      </c>
      <c r="G323" t="inlineStr">
        <is>
          <t>VÅRGÅRDA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2995-2024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45315</v>
      </c>
      <c r="E324" s="1" t="n">
        <v>46223</v>
      </c>
      <c r="F324" t="inlineStr">
        <is>
          <t>VÄSTRA GÖTALANDS LÄN</t>
        </is>
      </c>
      <c r="G324" t="inlineStr">
        <is>
          <t>VÅRGÅRDA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4845-2024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45329</v>
      </c>
      <c r="E325" s="1" t="n">
        <v>46223</v>
      </c>
      <c r="F325" t="inlineStr">
        <is>
          <t>VÄSTRA GÖTALANDS LÄN</t>
        </is>
      </c>
      <c r="G325" t="inlineStr">
        <is>
          <t>VÅRGÅRDA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44744-2023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45190</v>
      </c>
      <c r="E326" s="1" t="n">
        <v>46223</v>
      </c>
      <c r="F326" t="inlineStr">
        <is>
          <t>VÄSTRA GÖTALANDS LÄN</t>
        </is>
      </c>
      <c r="G326" t="inlineStr">
        <is>
          <t>VÅRGÅRDA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21535-2025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45782</v>
      </c>
      <c r="E327" s="1" t="n">
        <v>46223</v>
      </c>
      <c r="F327" t="inlineStr">
        <is>
          <t>VÄSTRA GÖTALANDS LÄN</t>
        </is>
      </c>
      <c r="G327" t="inlineStr">
        <is>
          <t>VÅRGÅRDA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23950-2025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45796</v>
      </c>
      <c r="E328" s="1" t="n">
        <v>46223</v>
      </c>
      <c r="F328" t="inlineStr">
        <is>
          <t>VÄSTRA GÖTALANDS LÄN</t>
        </is>
      </c>
      <c r="G328" t="inlineStr">
        <is>
          <t>VÅRGÅRDA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45309-2024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45576</v>
      </c>
      <c r="E329" s="1" t="n">
        <v>46223</v>
      </c>
      <c r="F329" t="inlineStr">
        <is>
          <t>VÄSTRA GÖTALANDS LÄN</t>
        </is>
      </c>
      <c r="G329" t="inlineStr">
        <is>
          <t>VÅRGÅRDA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25324-2025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45800</v>
      </c>
      <c r="E330" s="1" t="n">
        <v>46223</v>
      </c>
      <c r="F330" t="inlineStr">
        <is>
          <t>VÄSTRA GÖTALANDS LÄN</t>
        </is>
      </c>
      <c r="G330" t="inlineStr">
        <is>
          <t>VÅRGÅRDA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25326-2025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45800</v>
      </c>
      <c r="E331" s="1" t="n">
        <v>46223</v>
      </c>
      <c r="F331" t="inlineStr">
        <is>
          <t>VÄSTRA GÖTALANDS LÄN</t>
        </is>
      </c>
      <c r="G331" t="inlineStr">
        <is>
          <t>VÅRGÅRDA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25906-2025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45804</v>
      </c>
      <c r="E332" s="1" t="n">
        <v>46223</v>
      </c>
      <c r="F332" t="inlineStr">
        <is>
          <t>VÄSTRA GÖTALANDS LÄN</t>
        </is>
      </c>
      <c r="G332" t="inlineStr">
        <is>
          <t>VÅRGÅRDA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25909-2025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45804</v>
      </c>
      <c r="E333" s="1" t="n">
        <v>46223</v>
      </c>
      <c r="F333" t="inlineStr">
        <is>
          <t>VÄSTRA GÖTALANDS LÄN</t>
        </is>
      </c>
      <c r="G333" t="inlineStr">
        <is>
          <t>VÅRGÅRDA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5448-2025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45692</v>
      </c>
      <c r="E334" s="1" t="n">
        <v>46223</v>
      </c>
      <c r="F334" t="inlineStr">
        <is>
          <t>VÄSTRA GÖTALANDS LÄN</t>
        </is>
      </c>
      <c r="G334" t="inlineStr">
        <is>
          <t>VÅRGÅRDA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S 1329-2022</t>
        </is>
      </c>
      <c r="B335" t="inlineStr">
        <is>
          <t>samrådsanmälan</t>
        </is>
      </c>
      <c r="C335" t="inlineStr">
        <is>
          <t>Askåterföring</t>
        </is>
      </c>
      <c r="D335" s="1" t="n">
        <v>44628</v>
      </c>
      <c r="E335" s="1" t="n">
        <v>46223</v>
      </c>
      <c r="F335" t="inlineStr">
        <is>
          <t>VÄSTRA GÖTALANDS LÄN</t>
        </is>
      </c>
      <c r="G335" t="inlineStr">
        <is>
          <t>VÅRGÅRDA</t>
        </is>
      </c>
      <c r="H335" t="inlineStr">
        <is>
          <t>Kyrkan</t>
        </is>
      </c>
      <c r="I335" t="n">
        <v>24.6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S 5908-2021</t>
        </is>
      </c>
      <c r="B336" t="inlineStr">
        <is>
          <t>samrådsanmälan</t>
        </is>
      </c>
      <c r="C336" t="inlineStr">
        <is>
          <t>Åtgärd i nyckelbiotop</t>
        </is>
      </c>
      <c r="D336" s="1" t="n">
        <v>44440</v>
      </c>
      <c r="E336" s="1" t="n">
        <v>46223</v>
      </c>
      <c r="F336" t="inlineStr">
        <is>
          <t>VÄSTRA GÖTALANDS LÄN</t>
        </is>
      </c>
      <c r="G336" t="inlineStr">
        <is>
          <t>VÅRGÅRDA</t>
        </is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S 5513-2021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44432</v>
      </c>
      <c r="E337" s="1" t="n">
        <v>46223</v>
      </c>
      <c r="F337" t="inlineStr">
        <is>
          <t>VÄSTRA GÖTALANDS LÄN</t>
        </is>
      </c>
      <c r="G337" t="inlineStr">
        <is>
          <t>VÅRGÅRDA</t>
        </is>
      </c>
      <c r="H337" t="inlineStr">
        <is>
          <t>Allmännings- och besparingsskogar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S 204-2024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45323</v>
      </c>
      <c r="E338" s="1" t="n">
        <v>46223</v>
      </c>
      <c r="F338" t="inlineStr">
        <is>
          <t>VÄSTRA GÖTALANDS LÄN</t>
        </is>
      </c>
      <c r="G338" t="inlineStr">
        <is>
          <t>VÅRGÅRDA</t>
        </is>
      </c>
      <c r="I338" t="n">
        <v>34.3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S 234-2024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45317</v>
      </c>
      <c r="E339" s="1" t="n">
        <v>46223</v>
      </c>
      <c r="F339" t="inlineStr">
        <is>
          <t>VÄSTRA GÖTALANDS LÄN</t>
        </is>
      </c>
      <c r="G339" t="inlineStr">
        <is>
          <t>VÅRGÅRDA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S 506-2024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45345</v>
      </c>
      <c r="E340" s="1" t="n">
        <v>46223</v>
      </c>
      <c r="F340" t="inlineStr">
        <is>
          <t>VÄSTRA GÖTALANDS LÄN</t>
        </is>
      </c>
      <c r="G340" t="inlineStr">
        <is>
          <t>VÅRGÅRDA</t>
        </is>
      </c>
      <c r="I340" t="n">
        <v>5.9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S 509-2024</t>
        </is>
      </c>
      <c r="B341" t="inlineStr">
        <is>
          <t>samrådsanmälan</t>
        </is>
      </c>
      <c r="C341" t="inlineStr">
        <is>
          <t>Askåterföring</t>
        </is>
      </c>
      <c r="D341" s="1" t="n">
        <v>45345</v>
      </c>
      <c r="E341" s="1" t="n">
        <v>46223</v>
      </c>
      <c r="F341" t="inlineStr">
        <is>
          <t>VÄSTRA GÖTALANDS LÄN</t>
        </is>
      </c>
      <c r="G341" t="inlineStr">
        <is>
          <t>VÅRGÅRDA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S 4693-2024</t>
        </is>
      </c>
      <c r="B342" t="inlineStr">
        <is>
          <t>samrådsanmälan</t>
        </is>
      </c>
      <c r="C342" t="inlineStr">
        <is>
          <t>Annan skogsbruksåtgärd</t>
        </is>
      </c>
      <c r="D342" s="1" t="n">
        <v>45606</v>
      </c>
      <c r="E342" s="1" t="n">
        <v>46223</v>
      </c>
      <c r="F342" t="inlineStr">
        <is>
          <t>VÄSTRA GÖTALANDS LÄN</t>
        </is>
      </c>
      <c r="G342" t="inlineStr">
        <is>
          <t>VÅRGÅRDA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S 858-2024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45373</v>
      </c>
      <c r="E343" s="1" t="n">
        <v>46223</v>
      </c>
      <c r="F343" t="inlineStr">
        <is>
          <t>VÄSTRA GÖTALANDS LÄN</t>
        </is>
      </c>
      <c r="G343" t="inlineStr">
        <is>
          <t>VÅRGÅRDA</t>
        </is>
      </c>
      <c r="H343" t="inlineStr">
        <is>
          <t>Kyrkan</t>
        </is>
      </c>
      <c r="I343" t="n">
        <v>17.4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S 3932-2024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45565</v>
      </c>
      <c r="E344" s="1" t="n">
        <v>46223</v>
      </c>
      <c r="F344" t="inlineStr">
        <is>
          <t>VÄSTRA GÖTALANDS LÄN</t>
        </is>
      </c>
      <c r="G344" t="inlineStr">
        <is>
          <t>VÅRGÅRDA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S 2696-2024</t>
        </is>
      </c>
      <c r="B345" t="inlineStr">
        <is>
          <t>samrådsanmälan</t>
        </is>
      </c>
      <c r="C345" t="inlineStr">
        <is>
          <t>Annan skogsbruksåtgärd</t>
        </is>
      </c>
      <c r="D345" s="1" t="n">
        <v>45482</v>
      </c>
      <c r="E345" s="1" t="n">
        <v>46223</v>
      </c>
      <c r="F345" t="inlineStr">
        <is>
          <t>VÄSTRA GÖTALANDS LÄN</t>
        </is>
      </c>
      <c r="G345" t="inlineStr">
        <is>
          <t>VÅRGÅRDA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S 275-2024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45323</v>
      </c>
      <c r="E346" s="1" t="n">
        <v>46223</v>
      </c>
      <c r="F346" t="inlineStr">
        <is>
          <t>VÄSTRA GÖTALANDS LÄN</t>
        </is>
      </c>
      <c r="G346" t="inlineStr">
        <is>
          <t>VÅRGÅRDA</t>
        </is>
      </c>
      <c r="I346" t="n">
        <v>27.3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S 514-2026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46077</v>
      </c>
      <c r="E347" s="1" t="n">
        <v>46223</v>
      </c>
      <c r="F347" t="inlineStr">
        <is>
          <t>VÄSTRA GÖTALANDS LÄN</t>
        </is>
      </c>
      <c r="G347" t="inlineStr">
        <is>
          <t>VÅRGÅRDA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S 729-2026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46093</v>
      </c>
      <c r="E348" s="1" t="n">
        <v>46223</v>
      </c>
      <c r="F348" t="inlineStr">
        <is>
          <t>VÄSTRA GÖTALANDS LÄN</t>
        </is>
      </c>
      <c r="G348" t="inlineStr">
        <is>
          <t>VÅRGÅRDA</t>
        </is>
      </c>
      <c r="I348" t="n">
        <v>37.5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>
      <c r="A349" t="inlineStr">
        <is>
          <t>S 735-2026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46094</v>
      </c>
      <c r="E349" s="1" t="n">
        <v>46223</v>
      </c>
      <c r="F349" t="inlineStr">
        <is>
          <t>VÄSTRA GÖTALANDS LÄN</t>
        </is>
      </c>
      <c r="G349" t="inlineStr">
        <is>
          <t>VÅRGÅRDA</t>
        </is>
      </c>
      <c r="H349" t="inlineStr">
        <is>
          <t>Kyrkan</t>
        </is>
      </c>
      <c r="I349" t="n">
        <v>20.6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2026-07-20T01:49:04Z</dcterms:created>
  <dcterms:modified xmlns:dcterms="http://purl.org/dc/terms/" xmlns:xsi="http://www.w3.org/2001/XMLSchema-instance" xsi:type="dcterms:W3CDTF">2026-07-20T01:49:05Z</dcterms:modified>
</cp:coreProperties>
</file>