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16587-2025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45752</v>
      </c>
      <c r="E4" s="1" t="n">
        <v>46306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16587-2025 artfynd.xlsx", "A 16587-2025")</f>
        <v/>
      </c>
      <c r="X4">
        <f>HYPERLINK("https://klasma.github.io/Logging_1442/kartor/A 16587-2025 karta.png", "A 16587-2025")</f>
        <v/>
      </c>
      <c r="Y4">
        <f>HYPERLINK("https://klasma.github.io/Logging_1442/kartor_geotiff/A 16587-2025 georefererad karta.tif", "A 16587-2025")</f>
        <v/>
      </c>
      <c r="AA4">
        <f>HYPERLINK("https://klasma.github.io/Logging_1442/klagomål/A 16587-2025 FSC-klagomål.docx", "A 16587-2025")</f>
        <v/>
      </c>
      <c r="AB4">
        <f>HYPERLINK("https://klasma.github.io/Logging_1442/klagomålsmail/A 16587-2025 FSC-klagomål mail.docx", "A 16587-2025")</f>
        <v/>
      </c>
      <c r="AC4">
        <f>HYPERLINK("https://klasma.github.io/Logging_1442/tillsyn/A 16587-2025 tillsynsbegäran.docx", "A 16587-2025")</f>
        <v/>
      </c>
      <c r="AD4">
        <f>HYPERLINK("https://klasma.github.io/Logging_1442/tillsynsmail/A 16587-2025 tillsynsbegäran mail.docx", "A 16587-2025")</f>
        <v/>
      </c>
    </row>
    <row r="5" ht="15" customHeight="1">
      <c r="A5" t="inlineStr">
        <is>
          <t>A 16590-2025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45752</v>
      </c>
      <c r="E5" s="1" t="n">
        <v>46306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16590-2025 artfynd.xlsx", "A 16590-2025")</f>
        <v/>
      </c>
      <c r="X5">
        <f>HYPERLINK("https://klasma.github.io/Logging_1442/kartor/A 16590-2025 karta.png", "A 16590-2025")</f>
        <v/>
      </c>
      <c r="Y5">
        <f>HYPERLINK("https://klasma.github.io/Logging_1442/kartor_geotiff/A 16590-2025 georefererad karta.tif", "A 16590-2025")</f>
        <v/>
      </c>
      <c r="AA5">
        <f>HYPERLINK("https://klasma.github.io/Logging_1442/klagomål/A 16590-2025 FSC-klagomål.docx", "A 16590-2025")</f>
        <v/>
      </c>
      <c r="AB5">
        <f>HYPERLINK("https://klasma.github.io/Logging_1442/klagomålsmail/A 16590-2025 FSC-klagomål mail.docx", "A 16590-2025")</f>
        <v/>
      </c>
      <c r="AC5">
        <f>HYPERLINK("https://klasma.github.io/Logging_1442/tillsyn/A 16590-2025 tillsynsbegäran.docx", "A 16590-2025")</f>
        <v/>
      </c>
      <c r="AD5">
        <f>HYPERLINK("https://klasma.github.io/Logging_1442/tillsynsmail/A 16590-2025 tillsynsbegäran mail.docx", "A 16590-2025")</f>
        <v/>
      </c>
    </row>
    <row r="6" ht="15" customHeight="1">
      <c r="A6" t="inlineStr">
        <is>
          <t>A 11214-2023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44992</v>
      </c>
      <c r="E6" s="1" t="n">
        <v>46306</v>
      </c>
      <c r="F6" t="inlineStr">
        <is>
          <t>VÄSTRA GÖTALANDS LÄN</t>
        </is>
      </c>
      <c r="G6" t="inlineStr">
        <is>
          <t>VÅRGÅRDA</t>
        </is>
      </c>
      <c r="I6" t="n">
        <v>1.9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Stare</t>
        </is>
      </c>
      <c r="W6">
        <f>HYPERLINK("https://klasma.github.io/Logging_1442/artfynd/A 11214-2023 artfynd.xlsx", "A 11214-2023")</f>
        <v/>
      </c>
      <c r="X6">
        <f>HYPERLINK("https://klasma.github.io/Logging_1442/kartor/A 11214-2023 karta.png", "A 11214-2023")</f>
        <v/>
      </c>
      <c r="Y6">
        <f>HYPERLINK("https://klasma.github.io/Logging_1442/kartor_geotiff/A 11214-2023 georefererad karta.tif", "A 11214-2023")</f>
        <v/>
      </c>
      <c r="AA6">
        <f>HYPERLINK("https://klasma.github.io/Logging_1442/klagomål/A 11214-2023 FSC-klagomål.docx", "A 11214-2023")</f>
        <v/>
      </c>
      <c r="AB6">
        <f>HYPERLINK("https://klasma.github.io/Logging_1442/klagomålsmail/A 11214-2023 FSC-klagomål mail.docx", "A 11214-2023")</f>
        <v/>
      </c>
      <c r="AC6">
        <f>HYPERLINK("https://klasma.github.io/Logging_1442/tillsyn/A 11214-2023 tillsynsbegäran.docx", "A 11214-2023")</f>
        <v/>
      </c>
      <c r="AD6">
        <f>HYPERLINK("https://klasma.github.io/Logging_1442/tillsynsmail/A 11214-2023 tillsynsbegäran mail.docx", "A 11214-2023")</f>
        <v/>
      </c>
      <c r="AE6">
        <f>HYPERLINK("https://klasma.github.io/Logging_1442/fåglar/A 11214-2023 prioriterade fågelarter.docx", "A 11214-2023")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46306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13991-2023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45008</v>
      </c>
      <c r="E8" s="1" t="n">
        <v>46306</v>
      </c>
      <c r="F8" t="inlineStr">
        <is>
          <t>VÄSTRA GÖTALANDS LÄN</t>
        </is>
      </c>
      <c r="G8" t="inlineStr">
        <is>
          <t>VÅRGÅRDA</t>
        </is>
      </c>
      <c r="I8" t="n">
        <v>0.2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Borsttåg</t>
        </is>
      </c>
      <c r="W8">
        <f>HYPERLINK("https://klasma.github.io/Logging_1442/artfynd/A 13991-2023 artfynd.xlsx", "A 13991-2023")</f>
        <v/>
      </c>
      <c r="X8">
        <f>HYPERLINK("https://klasma.github.io/Logging_1442/kartor/A 13991-2023 karta.png", "A 13991-2023")</f>
        <v/>
      </c>
      <c r="Y8">
        <f>HYPERLINK("https://klasma.github.io/Logging_1442/kartor_geotiff/A 13991-2023 georefererad karta.tif", "A 13991-2023")</f>
        <v/>
      </c>
      <c r="AA8">
        <f>HYPERLINK("https://klasma.github.io/Logging_1442/klagomål/A 13991-2023 FSC-klagomål.docx", "A 13991-2023")</f>
        <v/>
      </c>
      <c r="AB8">
        <f>HYPERLINK("https://klasma.github.io/Logging_1442/klagomålsmail/A 13991-2023 FSC-klagomål mail.docx", "A 13991-2023")</f>
        <v/>
      </c>
      <c r="AC8">
        <f>HYPERLINK("https://klasma.github.io/Logging_1442/tillsyn/A 13991-2023 tillsynsbegäran.docx", "A 13991-2023")</f>
        <v/>
      </c>
      <c r="AD8">
        <f>HYPERLINK("https://klasma.github.io/Logging_1442/tillsynsmail/A 13991-2023 tillsynsbegäran mail.docx", "A 13991-2023")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46306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46306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46306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46306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46306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46306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46306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46306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46306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46306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46306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46306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46306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46306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46306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46306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46306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46306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46306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46306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46306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46306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46306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46306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44501</v>
      </c>
      <c r="E33" s="1" t="n">
        <v>46306</v>
      </c>
      <c r="F33" t="inlineStr">
        <is>
          <t>VÄSTRA GÖTALANDS LÄN</t>
        </is>
      </c>
      <c r="G33" t="inlineStr">
        <is>
          <t>VÅRGÅRDA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44505</v>
      </c>
      <c r="E34" s="1" t="n">
        <v>46306</v>
      </c>
      <c r="F34" t="inlineStr">
        <is>
          <t>VÄSTRA GÖTALANDS LÄN</t>
        </is>
      </c>
      <c r="G34" t="inlineStr">
        <is>
          <t>VÅRGÅRDA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46306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46306</v>
      </c>
      <c r="F36" t="inlineStr">
        <is>
          <t>VÄSTRA GÖTALANDS LÄN</t>
        </is>
      </c>
      <c r="G36" t="inlineStr">
        <is>
          <t>VÅRGÅRDA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44607</v>
      </c>
      <c r="E37" s="1" t="n">
        <v>46306</v>
      </c>
      <c r="F37" t="inlineStr">
        <is>
          <t>VÄSTRA GÖTALANDS LÄN</t>
        </is>
      </c>
      <c r="G37" t="inlineStr">
        <is>
          <t>VÅRGÅRDA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46306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37848-2022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44811</v>
      </c>
      <c r="E39" s="1" t="n">
        <v>46306</v>
      </c>
      <c r="F39" t="inlineStr">
        <is>
          <t>VÄSTRA GÖTALANDS LÄN</t>
        </is>
      </c>
      <c r="G39" t="inlineStr">
        <is>
          <t>VÅRGÅRDA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46306</v>
      </c>
      <c r="F40" t="inlineStr">
        <is>
          <t>VÄSTRA GÖTALANDS LÄN</t>
        </is>
      </c>
      <c r="G40" t="inlineStr">
        <is>
          <t>VÅRGÅRDA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46306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46306</v>
      </c>
      <c r="F42" t="inlineStr">
        <is>
          <t>VÄSTRA GÖTALANDS LÄN</t>
        </is>
      </c>
      <c r="G42" t="inlineStr">
        <is>
          <t>VÅRGÅRDA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46306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45375</v>
      </c>
      <c r="E44" s="1" t="n">
        <v>46306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46306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46306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46306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44900</v>
      </c>
      <c r="E48" s="1" t="n">
        <v>46306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46306</v>
      </c>
      <c r="F49" t="inlineStr">
        <is>
          <t>VÄSTRA GÖTALANDS LÄN</t>
        </is>
      </c>
      <c r="G49" t="inlineStr">
        <is>
          <t>VÅRGÅRDA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44952</v>
      </c>
      <c r="E50" s="1" t="n">
        <v>46306</v>
      </c>
      <c r="F50" t="inlineStr">
        <is>
          <t>VÄSTRA GÖTALANDS LÄN</t>
        </is>
      </c>
      <c r="G50" t="inlineStr">
        <is>
          <t>VÅRGÅRDA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46306</v>
      </c>
      <c r="F51" t="inlineStr">
        <is>
          <t>VÄSTRA GÖTALANDS LÄN</t>
        </is>
      </c>
      <c r="G51" t="inlineStr">
        <is>
          <t>VÅRGÅRDA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44791</v>
      </c>
      <c r="E52" s="1" t="n">
        <v>46306</v>
      </c>
      <c r="F52" t="inlineStr">
        <is>
          <t>VÄSTRA GÖTALANDS LÄN</t>
        </is>
      </c>
      <c r="G52" t="inlineStr">
        <is>
          <t>VÅRGÅRDA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46306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46306</v>
      </c>
      <c r="F54" t="inlineStr">
        <is>
          <t>VÄSTRA GÖTALANDS LÄN</t>
        </is>
      </c>
      <c r="G54" t="inlineStr">
        <is>
          <t>VÅRGÅRDA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45351</v>
      </c>
      <c r="E55" s="1" t="n">
        <v>46306</v>
      </c>
      <c r="F55" t="inlineStr">
        <is>
          <t>VÄSTRA GÖTALANDS LÄN</t>
        </is>
      </c>
      <c r="G55" t="inlineStr">
        <is>
          <t>VÅRGÅRDA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45363</v>
      </c>
      <c r="E56" s="1" t="n">
        <v>46306</v>
      </c>
      <c r="F56" t="inlineStr">
        <is>
          <t>VÄSTRA GÖTALANDS LÄN</t>
        </is>
      </c>
      <c r="G56" t="inlineStr">
        <is>
          <t>VÅRGÅRDA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46306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45058</v>
      </c>
      <c r="E58" s="1" t="n">
        <v>46306</v>
      </c>
      <c r="F58" t="inlineStr">
        <is>
          <t>VÄSTRA GÖTALANDS LÄN</t>
        </is>
      </c>
      <c r="G58" t="inlineStr">
        <is>
          <t>VÅRGÅRDA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46306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46306</v>
      </c>
      <c r="F60" t="inlineStr">
        <is>
          <t>VÄSTRA GÖTALANDS LÄN</t>
        </is>
      </c>
      <c r="G60" t="inlineStr">
        <is>
          <t>VÅRGÅRDA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46306</v>
      </c>
      <c r="F61" t="inlineStr">
        <is>
          <t>VÄSTRA GÖTALANDS LÄN</t>
        </is>
      </c>
      <c r="G61" t="inlineStr">
        <is>
          <t>VÅRGÅRDA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46306</v>
      </c>
      <c r="F62" t="inlineStr">
        <is>
          <t>VÄSTRA GÖTALANDS LÄN</t>
        </is>
      </c>
      <c r="G62" t="inlineStr">
        <is>
          <t>VÅRGÅRDA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46306</v>
      </c>
      <c r="F63" t="inlineStr">
        <is>
          <t>VÄSTRA GÖTALANDS LÄN</t>
        </is>
      </c>
      <c r="G63" t="inlineStr">
        <is>
          <t>VÅRGÅRDA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46306</v>
      </c>
      <c r="F64" t="inlineStr">
        <is>
          <t>VÄSTRA GÖTALANDS LÄN</t>
        </is>
      </c>
      <c r="G64" t="inlineStr">
        <is>
          <t>VÅRGÅRDA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24611-2023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46306</v>
      </c>
      <c r="F65" t="inlineStr">
        <is>
          <t>VÄSTRA GÖTALANDS LÄN</t>
        </is>
      </c>
      <c r="G65" t="inlineStr">
        <is>
          <t>VÅRGÅRDA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46306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46306</v>
      </c>
      <c r="F67" t="inlineStr">
        <is>
          <t>VÄSTRA GÖTALANDS LÄN</t>
        </is>
      </c>
      <c r="G67" t="inlineStr">
        <is>
          <t>VÅRGÅRDA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44968</v>
      </c>
      <c r="E68" s="1" t="n">
        <v>46306</v>
      </c>
      <c r="F68" t="inlineStr">
        <is>
          <t>VÄSTRA GÖTALANDS LÄN</t>
        </is>
      </c>
      <c r="G68" t="inlineStr">
        <is>
          <t>VÅRGÅRDA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46306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45268</v>
      </c>
      <c r="E70" s="1" t="n">
        <v>46306</v>
      </c>
      <c r="F70" t="inlineStr">
        <is>
          <t>VÄSTRA GÖTALANDS LÄN</t>
        </is>
      </c>
      <c r="G70" t="inlineStr">
        <is>
          <t>VÅRGÅRDA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46306</v>
      </c>
      <c r="F71" t="inlineStr">
        <is>
          <t>VÄSTRA GÖTALANDS LÄN</t>
        </is>
      </c>
      <c r="G71" t="inlineStr">
        <is>
          <t>VÅRGÅRDA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46306</v>
      </c>
      <c r="F72" t="inlineStr">
        <is>
          <t>VÄSTRA GÖTALANDS LÄN</t>
        </is>
      </c>
      <c r="G72" t="inlineStr">
        <is>
          <t>VÅRGÅRDA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46306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46306</v>
      </c>
      <c r="F74" t="inlineStr">
        <is>
          <t>VÄSTRA GÖTALANDS LÄN</t>
        </is>
      </c>
      <c r="G74" t="inlineStr">
        <is>
          <t>VÅRGÅRDA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46306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44811</v>
      </c>
      <c r="E76" s="1" t="n">
        <v>46306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46306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46306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45443</v>
      </c>
      <c r="E79" s="1" t="n">
        <v>46306</v>
      </c>
      <c r="F79" t="inlineStr">
        <is>
          <t>VÄSTRA GÖTALANDS LÄN</t>
        </is>
      </c>
      <c r="G79" t="inlineStr">
        <is>
          <t>VÅRGÅRDA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46306</v>
      </c>
      <c r="F80" t="inlineStr">
        <is>
          <t>VÄSTRA GÖTALANDS LÄN</t>
        </is>
      </c>
      <c r="G80" t="inlineStr">
        <is>
          <t>VÅRGÅRDA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45443</v>
      </c>
      <c r="E81" s="1" t="n">
        <v>46306</v>
      </c>
      <c r="F81" t="inlineStr">
        <is>
          <t>VÄSTRA GÖTALANDS LÄN</t>
        </is>
      </c>
      <c r="G81" t="inlineStr">
        <is>
          <t>VÅRGÅRDA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45247</v>
      </c>
      <c r="E82" s="1" t="n">
        <v>46306</v>
      </c>
      <c r="F82" t="inlineStr">
        <is>
          <t>VÄSTRA GÖTALANDS LÄN</t>
        </is>
      </c>
      <c r="G82" t="inlineStr">
        <is>
          <t>VÅRGÅRDA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46306</v>
      </c>
      <c r="F83" t="inlineStr">
        <is>
          <t>VÄSTRA GÖTALANDS LÄN</t>
        </is>
      </c>
      <c r="G83" t="inlineStr">
        <is>
          <t>VÅRGÅRDA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46306</v>
      </c>
      <c r="F84" t="inlineStr">
        <is>
          <t>VÄSTRA GÖTALANDS LÄN</t>
        </is>
      </c>
      <c r="G84" t="inlineStr">
        <is>
          <t>VÅRGÅRDA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46306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Kommuner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46306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46306</v>
      </c>
      <c r="F87" t="inlineStr">
        <is>
          <t>VÄSTRA GÖTALANDS LÄN</t>
        </is>
      </c>
      <c r="G87" t="inlineStr">
        <is>
          <t>VÅRGÅRDA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46306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46306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46306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46306</v>
      </c>
      <c r="F91" t="inlineStr">
        <is>
          <t>VÄSTRA GÖTALANDS LÄN</t>
        </is>
      </c>
      <c r="G91" t="inlineStr">
        <is>
          <t>VÅRGÅRDA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46306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46306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46306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60380-2022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46306</v>
      </c>
      <c r="F95" t="inlineStr">
        <is>
          <t>VÄSTRA GÖTALANDS LÄN</t>
        </is>
      </c>
      <c r="G95" t="inlineStr">
        <is>
          <t>VÅRGÅRDA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46306</v>
      </c>
      <c r="F96" t="inlineStr">
        <is>
          <t>VÄSTRA GÖTALANDS LÄN</t>
        </is>
      </c>
      <c r="G96" t="inlineStr">
        <is>
          <t>VÅRGÅRDA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46306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46306</v>
      </c>
      <c r="F98" t="inlineStr">
        <is>
          <t>VÄSTRA GÖTALANDS LÄN</t>
        </is>
      </c>
      <c r="G98" t="inlineStr">
        <is>
          <t>VÅRGÅRDA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46306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46306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46306</v>
      </c>
      <c r="F101" t="inlineStr">
        <is>
          <t>VÄSTRA GÖTALANDS LÄN</t>
        </is>
      </c>
      <c r="G101" t="inlineStr">
        <is>
          <t>VÅRGÅRDA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46306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46306</v>
      </c>
      <c r="F103" t="inlineStr">
        <is>
          <t>VÄSTRA GÖTALANDS LÄN</t>
        </is>
      </c>
      <c r="G103" t="inlineStr">
        <is>
          <t>VÅRGÅRDA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46306</v>
      </c>
      <c r="F104" t="inlineStr">
        <is>
          <t>VÄSTRA GÖTALANDS LÄN</t>
        </is>
      </c>
      <c r="G104" t="inlineStr">
        <is>
          <t>VÅRGÅRDA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46306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45190</v>
      </c>
      <c r="E106" s="1" t="n">
        <v>46306</v>
      </c>
      <c r="F106" t="inlineStr">
        <is>
          <t>VÄSTRA GÖTALANDS LÄN</t>
        </is>
      </c>
      <c r="G106" t="inlineStr">
        <is>
          <t>VÅRGÅRDA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46306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46306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46306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Allmännings- och besparingsskogar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46306</v>
      </c>
      <c r="F110" t="inlineStr">
        <is>
          <t>VÄSTRA GÖTALANDS LÄN</t>
        </is>
      </c>
      <c r="G110" t="inlineStr">
        <is>
          <t>VÅRGÅRDA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46306</v>
      </c>
      <c r="F111" t="inlineStr">
        <is>
          <t>VÄSTRA GÖTALANDS LÄN</t>
        </is>
      </c>
      <c r="G111" t="inlineStr">
        <is>
          <t>VÅRGÅRDA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46306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45782</v>
      </c>
      <c r="E113" s="1" t="n">
        <v>46306</v>
      </c>
      <c r="F113" t="inlineStr">
        <is>
          <t>VÄSTRA GÖTALANDS LÄN</t>
        </is>
      </c>
      <c r="G113" t="inlineStr">
        <is>
          <t>VÅRGÅRDA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46306</v>
      </c>
      <c r="F114" t="inlineStr">
        <is>
          <t>VÄSTRA GÖTALANDS LÄN</t>
        </is>
      </c>
      <c r="G114" t="inlineStr">
        <is>
          <t>VÅRGÅRDA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45356</v>
      </c>
      <c r="E115" s="1" t="n">
        <v>46306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46306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46306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46306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46306</v>
      </c>
      <c r="F119" t="inlineStr">
        <is>
          <t>VÄSTRA GÖTALANDS LÄN</t>
        </is>
      </c>
      <c r="G119" t="inlineStr">
        <is>
          <t>VÅRGÅRDA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46306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46306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46306</v>
      </c>
      <c r="F122" t="inlineStr">
        <is>
          <t>VÄSTRA GÖTALANDS LÄN</t>
        </is>
      </c>
      <c r="G122" t="inlineStr">
        <is>
          <t>VÅRGÅRDA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46306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46306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45751</v>
      </c>
      <c r="E125" s="1" t="n">
        <v>46306</v>
      </c>
      <c r="F125" t="inlineStr">
        <is>
          <t>VÄSTRA GÖTALANDS LÄN</t>
        </is>
      </c>
      <c r="G125" t="inlineStr">
        <is>
          <t>VÅRGÅRDA</t>
        </is>
      </c>
      <c r="H125" t="inlineStr">
        <is>
          <t>Sveaskog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46306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46306</v>
      </c>
      <c r="F127" t="inlineStr">
        <is>
          <t>VÄSTRA GÖTALANDS LÄN</t>
        </is>
      </c>
      <c r="G127" t="inlineStr">
        <is>
          <t>VÅRGÅRDA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46306</v>
      </c>
      <c r="F128" t="inlineStr">
        <is>
          <t>VÄSTRA GÖTALANDS LÄN</t>
        </is>
      </c>
      <c r="G128" t="inlineStr">
        <is>
          <t>VÅRGÅRDA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46306</v>
      </c>
      <c r="F129" t="inlineStr">
        <is>
          <t>VÄSTRA GÖTALANDS LÄN</t>
        </is>
      </c>
      <c r="G129" t="inlineStr">
        <is>
          <t>VÅRGÅRDA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46306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46306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46306</v>
      </c>
      <c r="F132" t="inlineStr">
        <is>
          <t>VÄSTRA GÖTALANDS LÄN</t>
        </is>
      </c>
      <c r="G132" t="inlineStr">
        <is>
          <t>VÅRGÅRDA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46306</v>
      </c>
      <c r="F133" t="inlineStr">
        <is>
          <t>VÄSTRA GÖTALANDS LÄN</t>
        </is>
      </c>
      <c r="G133" t="inlineStr">
        <is>
          <t>VÅRGÅRDA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46306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46306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46306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Kyrkan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46306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45800</v>
      </c>
      <c r="E138" s="1" t="n">
        <v>46306</v>
      </c>
      <c r="F138" t="inlineStr">
        <is>
          <t>VÄSTRA GÖTALANDS LÄN</t>
        </is>
      </c>
      <c r="G138" t="inlineStr">
        <is>
          <t>VÅRGÅRDA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44905</v>
      </c>
      <c r="E139" s="1" t="n">
        <v>46306</v>
      </c>
      <c r="F139" t="inlineStr">
        <is>
          <t>VÄSTRA GÖTALANDS LÄN</t>
        </is>
      </c>
      <c r="G139" t="inlineStr">
        <is>
          <t>VÅRGÅRDA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46306</v>
      </c>
      <c r="F140" t="inlineStr">
        <is>
          <t>VÄSTRA GÖTALANDS LÄN</t>
        </is>
      </c>
      <c r="G140" t="inlineStr">
        <is>
          <t>VÅRGÅRDA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46306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45800</v>
      </c>
      <c r="E142" s="1" t="n">
        <v>46306</v>
      </c>
      <c r="F142" t="inlineStr">
        <is>
          <t>VÄSTRA GÖTALANDS LÄN</t>
        </is>
      </c>
      <c r="G142" t="inlineStr">
        <is>
          <t>VÅRGÅRDA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46306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46306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46306</v>
      </c>
      <c r="F145" t="inlineStr">
        <is>
          <t>VÄSTRA GÖTALANDS LÄN</t>
        </is>
      </c>
      <c r="G145" t="inlineStr">
        <is>
          <t>VÅRGÅRDA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46306</v>
      </c>
      <c r="F146" t="inlineStr">
        <is>
          <t>VÄSTRA GÖTALANDS LÄN</t>
        </is>
      </c>
      <c r="G146" t="inlineStr">
        <is>
          <t>VÅRGÅRDA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46306</v>
      </c>
      <c r="F147" t="inlineStr">
        <is>
          <t>VÄSTRA GÖTALANDS LÄN</t>
        </is>
      </c>
      <c r="G147" t="inlineStr">
        <is>
          <t>VÅRGÅRDA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45692</v>
      </c>
      <c r="E148" s="1" t="n">
        <v>46306</v>
      </c>
      <c r="F148" t="inlineStr">
        <is>
          <t>VÄSTRA GÖTALANDS LÄN</t>
        </is>
      </c>
      <c r="G148" t="inlineStr">
        <is>
          <t>VÅRGÅRDA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46306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46306</v>
      </c>
      <c r="F150" t="inlineStr">
        <is>
          <t>VÄSTRA GÖTALANDS LÄN</t>
        </is>
      </c>
      <c r="G150" t="inlineStr">
        <is>
          <t>VÅRGÅRDA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46306</v>
      </c>
      <c r="F151" t="inlineStr">
        <is>
          <t>VÄSTRA GÖTALANDS LÄN</t>
        </is>
      </c>
      <c r="G151" t="inlineStr">
        <is>
          <t>VÅRGÅRDA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44936</v>
      </c>
      <c r="E152" s="1" t="n">
        <v>46306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46306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45253</v>
      </c>
      <c r="E154" s="1" t="n">
        <v>46306</v>
      </c>
      <c r="F154" t="inlineStr">
        <is>
          <t>VÄSTRA GÖTALANDS LÄN</t>
        </is>
      </c>
      <c r="G154" t="inlineStr">
        <is>
          <t>VÅRGÅRDA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46306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46306</v>
      </c>
      <c r="F156" t="inlineStr">
        <is>
          <t>VÄSTRA GÖTALANDS LÄN</t>
        </is>
      </c>
      <c r="G156" t="inlineStr">
        <is>
          <t>VÅRGÅRDA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46306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46306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44655</v>
      </c>
      <c r="E159" s="1" t="n">
        <v>46306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46306</v>
      </c>
      <c r="F160" t="inlineStr">
        <is>
          <t>VÄSTRA GÖTALANDS LÄN</t>
        </is>
      </c>
      <c r="G160" t="inlineStr">
        <is>
          <t>VÅRGÅRDA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46306</v>
      </c>
      <c r="F161" t="inlineStr">
        <is>
          <t>VÄSTRA GÖTALANDS LÄN</t>
        </is>
      </c>
      <c r="G161" t="inlineStr">
        <is>
          <t>VÅRGÅRDA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46306</v>
      </c>
      <c r="F162" t="inlineStr">
        <is>
          <t>VÄSTRA GÖTALANDS LÄN</t>
        </is>
      </c>
      <c r="G162" t="inlineStr">
        <is>
          <t>VÅRGÅRDA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46306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46306</v>
      </c>
      <c r="F164" t="inlineStr">
        <is>
          <t>VÄSTRA GÖTALANDS LÄN</t>
        </is>
      </c>
      <c r="G164" t="inlineStr">
        <is>
          <t>VÅRGÅRDA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46306</v>
      </c>
      <c r="F165" t="inlineStr">
        <is>
          <t>VÄSTRA GÖTALANDS LÄN</t>
        </is>
      </c>
      <c r="G165" t="inlineStr">
        <is>
          <t>VÅRGÅRDA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46306</v>
      </c>
      <c r="F166" t="inlineStr">
        <is>
          <t>VÄSTRA GÖTALANDS LÄN</t>
        </is>
      </c>
      <c r="G166" t="inlineStr">
        <is>
          <t>VÅRGÅRDA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44713</v>
      </c>
      <c r="E167" s="1" t="n">
        <v>46306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44713</v>
      </c>
      <c r="E168" s="1" t="n">
        <v>46306</v>
      </c>
      <c r="F168" t="inlineStr">
        <is>
          <t>VÄSTRA GÖTALANDS LÄN</t>
        </is>
      </c>
      <c r="G168" t="inlineStr">
        <is>
          <t>VÅRGÅRDA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45774</v>
      </c>
      <c r="E169" s="1" t="n">
        <v>46306</v>
      </c>
      <c r="F169" t="inlineStr">
        <is>
          <t>VÄSTRA GÖTALANDS LÄN</t>
        </is>
      </c>
      <c r="G169" t="inlineStr">
        <is>
          <t>VÅRGÅRDA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46306</v>
      </c>
      <c r="F170" t="inlineStr">
        <is>
          <t>VÄSTRA GÖTALANDS LÄN</t>
        </is>
      </c>
      <c r="G170" t="inlineStr">
        <is>
          <t>VÅRGÅRDA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46306</v>
      </c>
      <c r="F171" t="inlineStr">
        <is>
          <t>VÄSTRA GÖTALANDS LÄN</t>
        </is>
      </c>
      <c r="G171" t="inlineStr">
        <is>
          <t>VÅRGÅRDA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46306</v>
      </c>
      <c r="F172" t="inlineStr">
        <is>
          <t>VÄSTRA GÖTALANDS LÄN</t>
        </is>
      </c>
      <c r="G172" t="inlineStr">
        <is>
          <t>VÅRGÅRDA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46306</v>
      </c>
      <c r="F173" t="inlineStr">
        <is>
          <t>VÄSTRA GÖTALANDS LÄN</t>
        </is>
      </c>
      <c r="G173" t="inlineStr">
        <is>
          <t>VÅRGÅRDA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46306</v>
      </c>
      <c r="F174" t="inlineStr">
        <is>
          <t>VÄSTRA GÖTALANDS LÄN</t>
        </is>
      </c>
      <c r="G174" t="inlineStr">
        <is>
          <t>VÅRGÅRDA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46306</v>
      </c>
      <c r="F175" t="inlineStr">
        <is>
          <t>VÄSTRA GÖTALANDS LÄN</t>
        </is>
      </c>
      <c r="G175" t="inlineStr">
        <is>
          <t>VÅRGÅRDA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45734</v>
      </c>
      <c r="E176" s="1" t="n">
        <v>46306</v>
      </c>
      <c r="F176" t="inlineStr">
        <is>
          <t>VÄSTRA GÖTALANDS LÄN</t>
        </is>
      </c>
      <c r="G176" t="inlineStr">
        <is>
          <t>VÅRGÅRDA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46306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Kyrkan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45198</v>
      </c>
      <c r="E178" s="1" t="n">
        <v>46306</v>
      </c>
      <c r="F178" t="inlineStr">
        <is>
          <t>VÄSTRA GÖTALANDS LÄN</t>
        </is>
      </c>
      <c r="G178" t="inlineStr">
        <is>
          <t>VÅRGÅRDA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46306</v>
      </c>
      <c r="F179" t="inlineStr">
        <is>
          <t>VÄSTRA GÖTALANDS LÄN</t>
        </is>
      </c>
      <c r="G179" t="inlineStr">
        <is>
          <t>VÅRGÅRDA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46306</v>
      </c>
      <c r="F180" t="inlineStr">
        <is>
          <t>VÄSTRA GÖTALANDS LÄN</t>
        </is>
      </c>
      <c r="G180" t="inlineStr">
        <is>
          <t>VÅRGÅRDA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45968</v>
      </c>
      <c r="E181" s="1" t="n">
        <v>46306</v>
      </c>
      <c r="F181" t="inlineStr">
        <is>
          <t>VÄSTRA GÖTALANDS LÄN</t>
        </is>
      </c>
      <c r="G181" t="inlineStr">
        <is>
          <t>VÅRGÅRDA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45968</v>
      </c>
      <c r="E182" s="1" t="n">
        <v>46306</v>
      </c>
      <c r="F182" t="inlineStr">
        <is>
          <t>VÄSTRA GÖTALANDS LÄN</t>
        </is>
      </c>
      <c r="G182" t="inlineStr">
        <is>
          <t>VÅRGÅRDA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46306</v>
      </c>
      <c r="F183" t="inlineStr">
        <is>
          <t>VÄSTRA GÖTALANDS LÄN</t>
        </is>
      </c>
      <c r="G183" t="inlineStr">
        <is>
          <t>VÅRGÅRDA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46306</v>
      </c>
      <c r="F184" t="inlineStr">
        <is>
          <t>VÄSTRA GÖTALANDS LÄN</t>
        </is>
      </c>
      <c r="G184" t="inlineStr">
        <is>
          <t>VÅRGÅRDA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46306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46306</v>
      </c>
      <c r="F186" t="inlineStr">
        <is>
          <t>VÄSTRA GÖTALANDS LÄN</t>
        </is>
      </c>
      <c r="G186" t="inlineStr">
        <is>
          <t>VÅRGÅRDA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46306</v>
      </c>
      <c r="F187" t="inlineStr">
        <is>
          <t>VÄSTRA GÖTALANDS LÄN</t>
        </is>
      </c>
      <c r="G187" t="inlineStr">
        <is>
          <t>VÅRGÅRDA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45612</v>
      </c>
      <c r="E188" s="1" t="n">
        <v>46306</v>
      </c>
      <c r="F188" t="inlineStr">
        <is>
          <t>VÄSTRA GÖTALANDS LÄN</t>
        </is>
      </c>
      <c r="G188" t="inlineStr">
        <is>
          <t>VÅRGÅRDA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46306</v>
      </c>
      <c r="F189" t="inlineStr">
        <is>
          <t>VÄSTRA GÖTALANDS LÄN</t>
        </is>
      </c>
      <c r="G189" t="inlineStr">
        <is>
          <t>VÅRGÅRDA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46306</v>
      </c>
      <c r="F190" t="inlineStr">
        <is>
          <t>VÄSTRA GÖTALANDS LÄN</t>
        </is>
      </c>
      <c r="G190" t="inlineStr">
        <is>
          <t>VÅRGÅRDA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45859</v>
      </c>
      <c r="E191" s="1" t="n">
        <v>46306</v>
      </c>
      <c r="F191" t="inlineStr">
        <is>
          <t>VÄSTRA GÖTALANDS LÄN</t>
        </is>
      </c>
      <c r="G191" t="inlineStr">
        <is>
          <t>VÅRGÅRDA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45772</v>
      </c>
      <c r="E192" s="1" t="n">
        <v>46306</v>
      </c>
      <c r="F192" t="inlineStr">
        <is>
          <t>VÄSTRA GÖTALANDS LÄN</t>
        </is>
      </c>
      <c r="G192" t="inlineStr">
        <is>
          <t>VÅRGÅRDA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46306</v>
      </c>
      <c r="F193" t="inlineStr">
        <is>
          <t>VÄSTRA GÖTALANDS LÄN</t>
        </is>
      </c>
      <c r="G193" t="inlineStr">
        <is>
          <t>VÅRGÅRDA</t>
        </is>
      </c>
      <c r="H193" t="inlineStr">
        <is>
          <t>Kyrkan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46306</v>
      </c>
      <c r="F194" t="inlineStr">
        <is>
          <t>VÄSTRA GÖTALANDS LÄN</t>
        </is>
      </c>
      <c r="G194" t="inlineStr">
        <is>
          <t>VÅRGÅRDA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46306</v>
      </c>
      <c r="F195" t="inlineStr">
        <is>
          <t>VÄSTRA GÖTALANDS LÄN</t>
        </is>
      </c>
      <c r="G195" t="inlineStr">
        <is>
          <t>VÅRGÅRDA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46306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46306</v>
      </c>
      <c r="F197" t="inlineStr">
        <is>
          <t>VÄSTRA GÖTALANDS LÄN</t>
        </is>
      </c>
      <c r="G197" t="inlineStr">
        <is>
          <t>VÅRGÅRDA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45084</v>
      </c>
      <c r="E198" s="1" t="n">
        <v>46306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46306</v>
      </c>
      <c r="F199" t="inlineStr">
        <is>
          <t>VÄSTRA GÖTALANDS LÄN</t>
        </is>
      </c>
      <c r="G199" t="inlineStr">
        <is>
          <t>VÅRGÅRDA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46306</v>
      </c>
      <c r="F200" t="inlineStr">
        <is>
          <t>VÄSTRA GÖTALANDS LÄN</t>
        </is>
      </c>
      <c r="G200" t="inlineStr">
        <is>
          <t>VÅRGÅRDA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44907</v>
      </c>
      <c r="E201" s="1" t="n">
        <v>46306</v>
      </c>
      <c r="F201" t="inlineStr">
        <is>
          <t>VÄSTRA GÖTALANDS LÄN</t>
        </is>
      </c>
      <c r="G201" t="inlineStr">
        <is>
          <t>VÅRGÅRDA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46306</v>
      </c>
      <c r="F202" t="inlineStr">
        <is>
          <t>VÄSTRA GÖTALANDS LÄN</t>
        </is>
      </c>
      <c r="G202" t="inlineStr">
        <is>
          <t>VÅRGÅRDA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46306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44943</v>
      </c>
      <c r="E204" s="1" t="n">
        <v>46306</v>
      </c>
      <c r="F204" t="inlineStr">
        <is>
          <t>VÄSTRA GÖTALANDS LÄN</t>
        </is>
      </c>
      <c r="G204" t="inlineStr">
        <is>
          <t>VÅRGÅRDA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46306</v>
      </c>
      <c r="F205" t="inlineStr">
        <is>
          <t>VÄSTRA GÖTALANDS LÄN</t>
        </is>
      </c>
      <c r="G205" t="inlineStr">
        <is>
          <t>VÅRGÅRDA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46306</v>
      </c>
      <c r="F206" t="inlineStr">
        <is>
          <t>VÄSTRA GÖTALANDS LÄN</t>
        </is>
      </c>
      <c r="G206" t="inlineStr">
        <is>
          <t>VÅRGÅRDA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46306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46306</v>
      </c>
      <c r="F208" t="inlineStr">
        <is>
          <t>VÄSTRA GÖTALANDS LÄN</t>
        </is>
      </c>
      <c r="G208" t="inlineStr">
        <is>
          <t>VÅRGÅRDA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46306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46306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45301</v>
      </c>
      <c r="E211" s="1" t="n">
        <v>46306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46306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46306</v>
      </c>
      <c r="F213" t="inlineStr">
        <is>
          <t>VÄSTRA GÖTALANDS LÄN</t>
        </is>
      </c>
      <c r="G213" t="inlineStr">
        <is>
          <t>VÅRGÅRDA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46306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44946</v>
      </c>
      <c r="E215" s="1" t="n">
        <v>46306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46306</v>
      </c>
      <c r="F216" t="inlineStr">
        <is>
          <t>VÄSTRA GÖTALANDS LÄN</t>
        </is>
      </c>
      <c r="G216" t="inlineStr">
        <is>
          <t>VÅRGÅRDA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46306</v>
      </c>
      <c r="F217" t="inlineStr">
        <is>
          <t>VÄSTRA GÖTALANDS LÄN</t>
        </is>
      </c>
      <c r="G217" t="inlineStr">
        <is>
          <t>VÅRGÅRDA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46306</v>
      </c>
      <c r="F218" t="inlineStr">
        <is>
          <t>VÄSTRA GÖTALANDS LÄN</t>
        </is>
      </c>
      <c r="G218" t="inlineStr">
        <is>
          <t>VÅRGÅRDA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46306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45057</v>
      </c>
      <c r="E220" s="1" t="n">
        <v>46306</v>
      </c>
      <c r="F220" t="inlineStr">
        <is>
          <t>VÄSTRA GÖTALANDS LÄN</t>
        </is>
      </c>
      <c r="G220" t="inlineStr">
        <is>
          <t>VÅRGÅRDA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46306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46306</v>
      </c>
      <c r="F222" t="inlineStr">
        <is>
          <t>VÄSTRA GÖTALANDS LÄN</t>
        </is>
      </c>
      <c r="G222" t="inlineStr">
        <is>
          <t>VÅRGÅRDA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46306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46306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46306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46306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Sveaskog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46306</v>
      </c>
      <c r="F227" t="inlineStr">
        <is>
          <t>VÄSTRA GÖTALANDS LÄN</t>
        </is>
      </c>
      <c r="G227" t="inlineStr">
        <is>
          <t>VÅRGÅRDA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46306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Övriga statliga verk och myndigheter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46306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Övriga statliga verk och myndigheter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46306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46306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46306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46306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46306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46306</v>
      </c>
      <c r="F235" t="inlineStr">
        <is>
          <t>VÄSTRA GÖTALANDS LÄN</t>
        </is>
      </c>
      <c r="G235" t="inlineStr">
        <is>
          <t>VÅRGÅRDA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46306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46306</v>
      </c>
      <c r="F237" t="inlineStr">
        <is>
          <t>VÄSTRA GÖTALANDS LÄN</t>
        </is>
      </c>
      <c r="G237" t="inlineStr">
        <is>
          <t>VÅRGÅRDA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46126</v>
      </c>
      <c r="E238" s="1" t="n">
        <v>46306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46306</v>
      </c>
      <c r="F239" t="inlineStr">
        <is>
          <t>VÄSTRA GÖTALANDS LÄN</t>
        </is>
      </c>
      <c r="G239" t="inlineStr">
        <is>
          <t>VÅRGÅRDA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46306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46306</v>
      </c>
      <c r="F241" t="inlineStr">
        <is>
          <t>VÄSTRA GÖTALANDS LÄN</t>
        </is>
      </c>
      <c r="G241" t="inlineStr">
        <is>
          <t>VÅRGÅRDA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46306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46306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46306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46306</v>
      </c>
      <c r="F245" t="inlineStr">
        <is>
          <t>VÄSTRA GÖTALANDS LÄN</t>
        </is>
      </c>
      <c r="G245" t="inlineStr">
        <is>
          <t>VÅRGÅRDA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46306</v>
      </c>
      <c r="F246" t="inlineStr">
        <is>
          <t>VÄSTRA GÖTALANDS LÄN</t>
        </is>
      </c>
      <c r="G246" t="inlineStr">
        <is>
          <t>VÅRGÅRDA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44895</v>
      </c>
      <c r="E247" s="1" t="n">
        <v>46306</v>
      </c>
      <c r="F247" t="inlineStr">
        <is>
          <t>VÄSTRA GÖTALANDS LÄN</t>
        </is>
      </c>
      <c r="G247" t="inlineStr">
        <is>
          <t>VÅRGÅRDA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46306</v>
      </c>
      <c r="F248" t="inlineStr">
        <is>
          <t>VÄSTRA GÖTALANDS LÄN</t>
        </is>
      </c>
      <c r="G248" t="inlineStr">
        <is>
          <t>VÅRGÅRDA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46306</v>
      </c>
      <c r="F249" t="inlineStr">
        <is>
          <t>VÄSTRA GÖTALANDS LÄN</t>
        </is>
      </c>
      <c r="G249" t="inlineStr">
        <is>
          <t>VÅRGÅRDA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45703</v>
      </c>
      <c r="E250" s="1" t="n">
        <v>46306</v>
      </c>
      <c r="F250" t="inlineStr">
        <is>
          <t>VÄSTRA GÖTALANDS LÄN</t>
        </is>
      </c>
      <c r="G250" t="inlineStr">
        <is>
          <t>VÅRGÅRDA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46306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45693</v>
      </c>
      <c r="E252" s="1" t="n">
        <v>46306</v>
      </c>
      <c r="F252" t="inlineStr">
        <is>
          <t>VÄSTRA GÖTALANDS LÄN</t>
        </is>
      </c>
      <c r="G252" t="inlineStr">
        <is>
          <t>VÅRGÅRDA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46306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46306</v>
      </c>
      <c r="F254" t="inlineStr">
        <is>
          <t>VÄSTRA GÖTALANDS LÄN</t>
        </is>
      </c>
      <c r="G254" t="inlineStr">
        <is>
          <t>VÅRGÅRDA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44922</v>
      </c>
      <c r="E255" s="1" t="n">
        <v>46306</v>
      </c>
      <c r="F255" t="inlineStr">
        <is>
          <t>VÄSTRA GÖTALANDS LÄN</t>
        </is>
      </c>
      <c r="G255" t="inlineStr">
        <is>
          <t>VÅRGÅRDA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46032</v>
      </c>
      <c r="E256" s="1" t="n">
        <v>46306</v>
      </c>
      <c r="F256" t="inlineStr">
        <is>
          <t>VÄSTRA GÖTALANDS LÄN</t>
        </is>
      </c>
      <c r="G256" t="inlineStr">
        <is>
          <t>VÅRGÅRDA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46306</v>
      </c>
      <c r="F257" t="inlineStr">
        <is>
          <t>VÄSTRA GÖTALANDS LÄN</t>
        </is>
      </c>
      <c r="G257" t="inlineStr">
        <is>
          <t>VÅRGÅRDA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46032</v>
      </c>
      <c r="E258" s="1" t="n">
        <v>46306</v>
      </c>
      <c r="F258" t="inlineStr">
        <is>
          <t>VÄSTRA GÖTALANDS LÄN</t>
        </is>
      </c>
      <c r="G258" t="inlineStr">
        <is>
          <t>VÅRGÅRDA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46306</v>
      </c>
      <c r="F259" t="inlineStr">
        <is>
          <t>VÄSTRA GÖTALANDS LÄN</t>
        </is>
      </c>
      <c r="G259" t="inlineStr">
        <is>
          <t>VÅRGÅRDA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46306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46306</v>
      </c>
      <c r="F261" t="inlineStr">
        <is>
          <t>VÄSTRA GÖTALANDS LÄN</t>
        </is>
      </c>
      <c r="G261" t="inlineStr">
        <is>
          <t>VÅRGÅRDA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46306</v>
      </c>
      <c r="F262" t="inlineStr">
        <is>
          <t>VÄSTRA GÖTALANDS LÄN</t>
        </is>
      </c>
      <c r="G262" t="inlineStr">
        <is>
          <t>VÅRGÅRDA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46306</v>
      </c>
      <c r="F263" t="inlineStr">
        <is>
          <t>VÄSTRA GÖTALANDS LÄN</t>
        </is>
      </c>
      <c r="G263" t="inlineStr">
        <is>
          <t>VÅRGÅRDA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46306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46306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46306</v>
      </c>
      <c r="F266" t="inlineStr">
        <is>
          <t>VÄSTRA GÖTALANDS LÄN</t>
        </is>
      </c>
      <c r="G266" t="inlineStr">
        <is>
          <t>VÅRGÅRDA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46306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46306</v>
      </c>
      <c r="F268" t="inlineStr">
        <is>
          <t>VÄSTRA GÖTALANDS LÄN</t>
        </is>
      </c>
      <c r="G268" t="inlineStr">
        <is>
          <t>VÅRGÅRDA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46306</v>
      </c>
      <c r="F269" t="inlineStr">
        <is>
          <t>VÄSTRA GÖTALANDS LÄN</t>
        </is>
      </c>
      <c r="G269" t="inlineStr">
        <is>
          <t>VÅRGÅRDA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46306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46306</v>
      </c>
      <c r="F271" t="inlineStr">
        <is>
          <t>VÄSTRA GÖTALANDS LÄN</t>
        </is>
      </c>
      <c r="G271" t="inlineStr">
        <is>
          <t>VÅRGÅRDA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46306</v>
      </c>
      <c r="F272" t="inlineStr">
        <is>
          <t>VÄSTRA GÖTALANDS LÄN</t>
        </is>
      </c>
      <c r="G272" t="inlineStr">
        <is>
          <t>VÅRGÅRDA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46306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Allmännings- och besparingsskogar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45354</v>
      </c>
      <c r="E274" s="1" t="n">
        <v>46306</v>
      </c>
      <c r="F274" t="inlineStr">
        <is>
          <t>VÄSTRA GÖTALANDS LÄN</t>
        </is>
      </c>
      <c r="G274" t="inlineStr">
        <is>
          <t>VÅRGÅRDA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46306</v>
      </c>
      <c r="F275" t="inlineStr">
        <is>
          <t>VÄSTRA GÖTALANDS LÄN</t>
        </is>
      </c>
      <c r="G275" t="inlineStr">
        <is>
          <t>VÅRGÅRDA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46306</v>
      </c>
      <c r="F276" t="inlineStr">
        <is>
          <t>VÄSTRA GÖTALANDS LÄN</t>
        </is>
      </c>
      <c r="G276" t="inlineStr">
        <is>
          <t>VÅRGÅRDA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46306</v>
      </c>
      <c r="F277" t="inlineStr">
        <is>
          <t>VÄSTRA GÖTALANDS LÄN</t>
        </is>
      </c>
      <c r="G277" t="inlineStr">
        <is>
          <t>VÅRGÅRDA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46306</v>
      </c>
      <c r="F278" t="inlineStr">
        <is>
          <t>VÄSTRA GÖTALANDS LÄN</t>
        </is>
      </c>
      <c r="G278" t="inlineStr">
        <is>
          <t>VÅRGÅRDA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46306</v>
      </c>
      <c r="F279" t="inlineStr">
        <is>
          <t>VÄSTRA GÖTALANDS LÄN</t>
        </is>
      </c>
      <c r="G279" t="inlineStr">
        <is>
          <t>VÅRGÅRDA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46306</v>
      </c>
      <c r="F280" t="inlineStr">
        <is>
          <t>VÄSTRA GÖTALANDS LÄN</t>
        </is>
      </c>
      <c r="G280" t="inlineStr">
        <is>
          <t>VÅRGÅRDA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45375</v>
      </c>
      <c r="E281" s="1" t="n">
        <v>46306</v>
      </c>
      <c r="F281" t="inlineStr">
        <is>
          <t>VÄSTRA GÖTALANDS LÄN</t>
        </is>
      </c>
      <c r="G281" t="inlineStr">
        <is>
          <t>VÅRGÅRDA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45620</v>
      </c>
      <c r="E282" s="1" t="n">
        <v>46306</v>
      </c>
      <c r="F282" t="inlineStr">
        <is>
          <t>VÄSTRA GÖTALANDS LÄN</t>
        </is>
      </c>
      <c r="G282" t="inlineStr">
        <is>
          <t>VÅRGÅRDA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46306</v>
      </c>
      <c r="F283" t="inlineStr">
        <is>
          <t>VÄSTRA GÖTALANDS LÄN</t>
        </is>
      </c>
      <c r="G283" t="inlineStr">
        <is>
          <t>VÅRGÅRDA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46306</v>
      </c>
      <c r="F284" t="inlineStr">
        <is>
          <t>VÄSTRA GÖTALANDS LÄN</t>
        </is>
      </c>
      <c r="G284" t="inlineStr">
        <is>
          <t>VÅRGÅRDA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46306</v>
      </c>
      <c r="F285" t="inlineStr">
        <is>
          <t>VÄSTRA GÖTALANDS LÄN</t>
        </is>
      </c>
      <c r="G285" t="inlineStr">
        <is>
          <t>VÅRGÅRDA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46306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46306</v>
      </c>
      <c r="F287" t="inlineStr">
        <is>
          <t>VÄSTRA GÖTALANDS LÄN</t>
        </is>
      </c>
      <c r="G287" t="inlineStr">
        <is>
          <t>VÅRGÅRDA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46306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9305-2026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46070</v>
      </c>
      <c r="E289" s="1" t="n">
        <v>46306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9261-2026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46070</v>
      </c>
      <c r="E290" s="1" t="n">
        <v>46306</v>
      </c>
      <c r="F290" t="inlineStr">
        <is>
          <t>VÄSTRA GÖTALANDS LÄN</t>
        </is>
      </c>
      <c r="G290" t="inlineStr">
        <is>
          <t>VÅRGÅRDA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9301-2026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46070</v>
      </c>
      <c r="E291" s="1" t="n">
        <v>46306</v>
      </c>
      <c r="F291" t="inlineStr">
        <is>
          <t>VÄSTRA GÖTALANDS LÄN</t>
        </is>
      </c>
      <c r="G291" t="inlineStr">
        <is>
          <t>VÅRGÅRDA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46070</v>
      </c>
      <c r="E292" s="1" t="n">
        <v>46306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46306</v>
      </c>
      <c r="F293" t="inlineStr">
        <is>
          <t>VÄSTRA GÖTALANDS LÄN</t>
        </is>
      </c>
      <c r="G293" t="inlineStr">
        <is>
          <t>VÅRGÅRDA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46306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46306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11.4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46306</v>
      </c>
      <c r="F296" t="inlineStr">
        <is>
          <t>VÄSTRA GÖTALANDS LÄN</t>
        </is>
      </c>
      <c r="G296" t="inlineStr">
        <is>
          <t>VÅRGÅRDA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46306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46306</v>
      </c>
      <c r="F298" t="inlineStr">
        <is>
          <t>VÄSTRA GÖTALANDS LÄN</t>
        </is>
      </c>
      <c r="G298" t="inlineStr">
        <is>
          <t>VÅRGÅRDA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46306</v>
      </c>
      <c r="F299" t="inlineStr">
        <is>
          <t>VÄSTRA GÖTALANDS LÄN</t>
        </is>
      </c>
      <c r="G299" t="inlineStr">
        <is>
          <t>VÅRGÅRDA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46199</v>
      </c>
      <c r="E300" s="1" t="n">
        <v>46306</v>
      </c>
      <c r="F300" t="inlineStr">
        <is>
          <t>VÄSTRA GÖTALANDS LÄN</t>
        </is>
      </c>
      <c r="G300" t="inlineStr">
        <is>
          <t>VÅRGÅRDA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46306</v>
      </c>
      <c r="F301" t="inlineStr">
        <is>
          <t>VÄSTRA GÖTALANDS LÄN</t>
        </is>
      </c>
      <c r="G301" t="inlineStr">
        <is>
          <t>VÅRGÅRDA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46205</v>
      </c>
      <c r="E302" s="1" t="n">
        <v>46306</v>
      </c>
      <c r="F302" t="inlineStr">
        <is>
          <t>VÄSTRA GÖTALANDS LÄN</t>
        </is>
      </c>
      <c r="G302" t="inlineStr">
        <is>
          <t>VÅRGÅRDA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46306</v>
      </c>
      <c r="F303" t="inlineStr">
        <is>
          <t>VÄSTRA GÖTALANDS LÄN</t>
        </is>
      </c>
      <c r="G303" t="inlineStr">
        <is>
          <t>VÅRGÅRDA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46306</v>
      </c>
      <c r="F304" t="inlineStr">
        <is>
          <t>VÄSTRA GÖTALANDS LÄN</t>
        </is>
      </c>
      <c r="G304" t="inlineStr">
        <is>
          <t>VÅRGÅRDA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45906</v>
      </c>
      <c r="E305" s="1" t="n">
        <v>46306</v>
      </c>
      <c r="F305" t="inlineStr">
        <is>
          <t>VÄSTRA GÖTALANDS LÄN</t>
        </is>
      </c>
      <c r="G305" t="inlineStr">
        <is>
          <t>VÅRGÅRDA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46306</v>
      </c>
      <c r="F306" t="inlineStr">
        <is>
          <t>VÄSTRA GÖTALANDS LÄN</t>
        </is>
      </c>
      <c r="G306" t="inlineStr">
        <is>
          <t>VÅRGÅRDA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46124</v>
      </c>
      <c r="E307" s="1" t="n">
        <v>46306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46306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46306</v>
      </c>
      <c r="F309" t="inlineStr">
        <is>
          <t>VÄSTRA GÖTALANDS LÄN</t>
        </is>
      </c>
      <c r="G309" t="inlineStr">
        <is>
          <t>VÅRGÅRDA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36421-2026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46269</v>
      </c>
      <c r="E310" s="1" t="n">
        <v>46306</v>
      </c>
      <c r="F310" t="inlineStr">
        <is>
          <t>VÄSTRA GÖTALANDS LÄN</t>
        </is>
      </c>
      <c r="G310" t="inlineStr">
        <is>
          <t>VÅRGÅRDA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46276</v>
      </c>
      <c r="E311" s="1" t="n">
        <v>46306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46306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46306</v>
      </c>
      <c r="F313" t="inlineStr">
        <is>
          <t>VÄSTRA GÖTALANDS LÄN</t>
        </is>
      </c>
      <c r="G313" t="inlineStr">
        <is>
          <t>VÅRGÅRDA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46240</v>
      </c>
      <c r="E314" s="1" t="n">
        <v>46306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46306</v>
      </c>
      <c r="F315" t="inlineStr">
        <is>
          <t>VÄSTRA GÖTALANDS LÄN</t>
        </is>
      </c>
      <c r="G315" t="inlineStr">
        <is>
          <t>VÅRGÅRDA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46288</v>
      </c>
      <c r="E316" s="1" t="n">
        <v>46306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46246</v>
      </c>
      <c r="E317" s="1" t="n">
        <v>46306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46306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46306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46306</v>
      </c>
      <c r="F320" t="inlineStr">
        <is>
          <t>VÄSTRA GÖTALANDS LÄN</t>
        </is>
      </c>
      <c r="G320" t="inlineStr">
        <is>
          <t>VÅRGÅRDA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46290</v>
      </c>
      <c r="E321" s="1" t="n">
        <v>46306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46306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46306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46306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46287</v>
      </c>
      <c r="E325" s="1" t="n">
        <v>46306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46306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46296</v>
      </c>
      <c r="E327" s="1" t="n">
        <v>46306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46306</v>
      </c>
      <c r="F328" t="inlineStr">
        <is>
          <t>VÄSTRA GÖTALANDS LÄN</t>
        </is>
      </c>
      <c r="G328" t="inlineStr">
        <is>
          <t>VÅRGÅRDA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46306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46233-2025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45925</v>
      </c>
      <c r="E330" s="1" t="n">
        <v>46306</v>
      </c>
      <c r="F330" t="inlineStr">
        <is>
          <t>VÄSTRA GÖTALANDS LÄN</t>
        </is>
      </c>
      <c r="G330" t="inlineStr">
        <is>
          <t>VÅRGÅRDA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35075-2026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46259</v>
      </c>
      <c r="E331" s="1" t="n">
        <v>46306</v>
      </c>
      <c r="F331" t="inlineStr">
        <is>
          <t>VÄSTRA GÖTALANDS LÄN</t>
        </is>
      </c>
      <c r="G331" t="inlineStr">
        <is>
          <t>VÅRGÅRDA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46306</v>
      </c>
      <c r="F332" t="inlineStr">
        <is>
          <t>VÄSTRA GÖTALANDS LÄN</t>
        </is>
      </c>
      <c r="G332" t="inlineStr">
        <is>
          <t>VÅRGÅRDA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46306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46306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46306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46306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46306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46306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46306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46306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46306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46306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46306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46306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46306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2026-10-11T02:07:26Z</dcterms:created>
  <dcterms:modified xmlns:dcterms="http://purl.org/dc/terms/" xmlns:xsi="http://www.w3.org/2001/XMLSchema-instance" xsi:type="dcterms:W3CDTF">2026-10-11T02:07:27Z</dcterms:modified>
</cp:coreProperties>
</file>