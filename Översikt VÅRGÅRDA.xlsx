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S 1328-2022</t>
        </is>
      </c>
      <c r="B2" t="inlineStr">
        <is>
          <t>samrådsanmälan</t>
        </is>
      </c>
      <c r="C2" t="inlineStr">
        <is>
          <t>Askåterföring</t>
        </is>
      </c>
      <c r="D2" s="1" t="n">
        <v>44628</v>
      </c>
      <c r="E2" s="1" t="n">
        <v>46322</v>
      </c>
      <c r="F2" t="inlineStr">
        <is>
          <t>VÄSTRA GÖTALANDS LÄN</t>
        </is>
      </c>
      <c r="G2" t="inlineStr">
        <is>
          <t>VÅRGÅRDA</t>
        </is>
      </c>
      <c r="H2" t="inlineStr">
        <is>
          <t>Kyrkan</t>
        </is>
      </c>
      <c r="I2" t="n">
        <v>34.4</v>
      </c>
      <c r="J2" t="n">
        <v>7</v>
      </c>
      <c r="K2" t="n">
        <v>0</v>
      </c>
      <c r="L2" t="n">
        <v>3</v>
      </c>
      <c r="M2" t="n">
        <v>1</v>
      </c>
      <c r="N2" t="n">
        <v>0</v>
      </c>
      <c r="O2" t="n">
        <v>0</v>
      </c>
      <c r="P2" t="n">
        <v>0</v>
      </c>
      <c r="Q2" t="n">
        <v>4</v>
      </c>
      <c r="R2" t="n">
        <v>1</v>
      </c>
      <c r="S2" t="n">
        <v>10</v>
      </c>
      <c r="T2" t="n">
        <v>51</v>
      </c>
      <c r="U2" t="n">
        <v>48</v>
      </c>
      <c r="V2" s="2" t="inlineStr">
        <is>
          <t>Knärot
Borsttåg
Dunmossa
Motaggsvamp
Mattlummer
Spillkråka
Grönsiska
Vanlig groda
Lopplummer (aggregat)
Revlummer</t>
        </is>
      </c>
      <c r="W2">
        <f>HYPERLINK("https://klasma.github.io/Logging_1442/artfynd/S 1328-2022 artfynd.xlsx", "S 1328-2022")</f>
        <v/>
      </c>
      <c r="X2">
        <f>HYPERLINK("https://klasma.github.io/Logging_1442/kartor/S 1328-2022 karta.png", "S 1328-2022")</f>
        <v/>
      </c>
      <c r="Y2">
        <f>HYPERLINK("https://klasma.github.io/Logging_1442/kartor_geotiff/S 1328-2022 georefererad karta.tif", "S 1328-2022")</f>
        <v/>
      </c>
      <c r="Z2">
        <f>HYPERLINK("https://klasma.github.io/Logging_1442/knärot/S 1328-2022 karta knärot.png", "S 1328-2022")</f>
        <v/>
      </c>
      <c r="AA2">
        <f>HYPERLINK("https://klasma.github.io/Logging_1442/klagomål/S 1328-2022 FSC-klagomål.docx", "S 1328-2022")</f>
        <v/>
      </c>
      <c r="AB2">
        <f>HYPERLINK("https://klasma.github.io/Logging_1442/klagomålsmail/S 1328-2022 FSC-klagomål mail.docx", "S 1328-2022")</f>
        <v/>
      </c>
      <c r="AC2">
        <f>HYPERLINK("https://klasma.github.io/Logging_1442/tillsyn/S 1328-2022 tillsynsbegäran.docx", "S 1328-2022")</f>
        <v/>
      </c>
      <c r="AD2">
        <f>HYPERLINK("https://klasma.github.io/Logging_1442/tillsynsmail/S 1328-2022 tillsynsbegäran mail.docx", "S 1328-2022")</f>
        <v/>
      </c>
      <c r="AE2">
        <f>HYPERLINK("https://klasma.github.io/Logging_1442/fåglar/S 1328-2022 prioriterade fågelarter.docx", "S 1328-2022")</f>
        <v/>
      </c>
    </row>
    <row r="3" ht="15" customHeight="1">
      <c r="A3" t="inlineStr">
        <is>
          <t>A 59440-2023</t>
        </is>
      </c>
      <c r="B3" t="inlineStr">
        <is>
          <t>avverkningsanmälan</t>
        </is>
      </c>
      <c r="C3" t="inlineStr">
        <is>
          <t>Föryngringsavverkning</t>
        </is>
      </c>
      <c r="D3" s="1" t="n">
        <v>45254</v>
      </c>
      <c r="E3" s="1" t="n">
        <v>46322</v>
      </c>
      <c r="F3" t="inlineStr">
        <is>
          <t>VÄSTRA GÖTALANDS LÄN</t>
        </is>
      </c>
      <c r="G3" t="inlineStr">
        <is>
          <t>VÅRGÅRDA</t>
        </is>
      </c>
      <c r="I3" t="n">
        <v>15</v>
      </c>
      <c r="J3" t="n">
        <v>0</v>
      </c>
      <c r="K3" t="n">
        <v>1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1</v>
      </c>
      <c r="R3" t="n">
        <v>1</v>
      </c>
      <c r="S3" t="n">
        <v>2</v>
      </c>
      <c r="T3" t="n">
        <v>2</v>
      </c>
      <c r="U3" t="n">
        <v>0</v>
      </c>
      <c r="V3" s="2" t="inlineStr">
        <is>
          <t>Ask
Fällmossa</t>
        </is>
      </c>
      <c r="W3">
        <f>HYPERLINK("https://klasma.github.io/Logging_1442/artfynd/A 59440-2023 artfynd.xlsx", "A 59440-2023")</f>
        <v/>
      </c>
      <c r="X3">
        <f>HYPERLINK("https://klasma.github.io/Logging_1442/kartor/A 59440-2023 karta.png", "A 59440-2023")</f>
        <v/>
      </c>
      <c r="Y3">
        <f>HYPERLINK("https://klasma.github.io/Logging_1442/kartor_geotiff/A 59440-2023 georefererad karta.tif", "A 59440-2023")</f>
        <v/>
      </c>
      <c r="AA3">
        <f>HYPERLINK("https://klasma.github.io/Logging_1442/klagomål/A 59440-2023 FSC-klagomål.docx", "A 59440-2023")</f>
        <v/>
      </c>
      <c r="AB3">
        <f>HYPERLINK("https://klasma.github.io/Logging_1442/klagomålsmail/A 59440-2023 FSC-klagomål mail.docx", "A 59440-2023")</f>
        <v/>
      </c>
      <c r="AC3">
        <f>HYPERLINK("https://klasma.github.io/Logging_1442/tillsyn/A 59440-2023 tillsynsbegäran.docx", "A 59440-2023")</f>
        <v/>
      </c>
      <c r="AD3">
        <f>HYPERLINK("https://klasma.github.io/Logging_1442/tillsynsmail/A 59440-2023 tillsynsbegäran mail.docx", "A 59440-2023")</f>
        <v/>
      </c>
    </row>
    <row r="4" ht="15" customHeight="1">
      <c r="A4" t="inlineStr">
        <is>
          <t>A 43593-2025</t>
        </is>
      </c>
      <c r="B4" t="inlineStr">
        <is>
          <t>avverkningsanmälan</t>
        </is>
      </c>
      <c r="C4" t="inlineStr">
        <is>
          <t>Föryngringsavverkning</t>
        </is>
      </c>
      <c r="D4" s="1" t="n">
        <v>45911</v>
      </c>
      <c r="E4" s="1" t="n">
        <v>46322</v>
      </c>
      <c r="F4" t="inlineStr">
        <is>
          <t>VÄSTRA GÖTALANDS LÄN</t>
        </is>
      </c>
      <c r="G4" t="inlineStr">
        <is>
          <t>VÅRGÅRDA</t>
        </is>
      </c>
      <c r="I4" t="n">
        <v>1.6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1</v>
      </c>
      <c r="U4" t="n">
        <v>0</v>
      </c>
      <c r="V4" s="2" t="inlineStr">
        <is>
          <t>Trana</t>
        </is>
      </c>
      <c r="W4">
        <f>HYPERLINK("https://klasma.github.io/Logging_1442/artfynd/A 43593-2025 artfynd.xlsx", "A 43593-2025")</f>
        <v/>
      </c>
      <c r="X4">
        <f>HYPERLINK("https://klasma.github.io/Logging_1442/kartor/A 43593-2025 karta.png", "A 43593-2025")</f>
        <v/>
      </c>
      <c r="Y4">
        <f>HYPERLINK("https://klasma.github.io/Logging_1442/kartor_geotiff/A 43593-2025 georefererad karta.tif", "A 43593-2025")</f>
        <v/>
      </c>
      <c r="AA4">
        <f>HYPERLINK("https://klasma.github.io/Logging_1442/klagomål/A 43593-2025 FSC-klagomål.docx", "A 43593-2025")</f>
        <v/>
      </c>
      <c r="AB4">
        <f>HYPERLINK("https://klasma.github.io/Logging_1442/klagomålsmail/A 43593-2025 FSC-klagomål mail.docx", "A 43593-2025")</f>
        <v/>
      </c>
      <c r="AC4">
        <f>HYPERLINK("https://klasma.github.io/Logging_1442/tillsyn/A 43593-2025 tillsynsbegäran.docx", "A 43593-2025")</f>
        <v/>
      </c>
      <c r="AD4">
        <f>HYPERLINK("https://klasma.github.io/Logging_1442/tillsynsmail/A 43593-2025 tillsynsbegäran mail.docx", "A 43593-2025")</f>
        <v/>
      </c>
      <c r="AE4">
        <f>HYPERLINK("https://klasma.github.io/Logging_1442/fåglar/A 43593-2025 prioriterade fågelarter.docx", "A 43593-2025")</f>
        <v/>
      </c>
    </row>
    <row r="5" ht="15" customHeight="1">
      <c r="A5" t="inlineStr">
        <is>
          <t>A 48955-2025</t>
        </is>
      </c>
      <c r="B5" t="inlineStr">
        <is>
          <t>avverkningsanmälan</t>
        </is>
      </c>
      <c r="C5" t="inlineStr">
        <is>
          <t>Föryngringsavverkning</t>
        </is>
      </c>
      <c r="D5" s="1" t="n">
        <v>45937</v>
      </c>
      <c r="E5" s="1" t="n">
        <v>46322</v>
      </c>
      <c r="F5" t="inlineStr">
        <is>
          <t>VÄSTRA GÖTALANDS LÄN</t>
        </is>
      </c>
      <c r="G5" t="inlineStr">
        <is>
          <t>VÅRGÅRDA</t>
        </is>
      </c>
      <c r="I5" t="n">
        <v>7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1</v>
      </c>
      <c r="T5" t="n">
        <v>1</v>
      </c>
      <c r="U5" t="n">
        <v>0</v>
      </c>
      <c r="V5" s="2" t="inlineStr">
        <is>
          <t>Älg</t>
        </is>
      </c>
      <c r="W5">
        <f>HYPERLINK("https://klasma.github.io/Logging_1442/artfynd/A 48955-2025 artfynd.xlsx", "A 48955-2025")</f>
        <v/>
      </c>
      <c r="X5">
        <f>HYPERLINK("https://klasma.github.io/Logging_1442/kartor/A 48955-2025 karta.png", "A 48955-2025")</f>
        <v/>
      </c>
      <c r="Y5">
        <f>HYPERLINK("https://klasma.github.io/Logging_1442/kartor_geotiff/A 48955-2025 georefererad karta.tif", "A 48955-2025")</f>
        <v/>
      </c>
      <c r="AA5">
        <f>HYPERLINK("https://klasma.github.io/Logging_1442/klagomål/A 48955-2025 FSC-klagomål.docx", "A 48955-2025")</f>
        <v/>
      </c>
      <c r="AB5">
        <f>HYPERLINK("https://klasma.github.io/Logging_1442/klagomålsmail/A 48955-2025 FSC-klagomål mail.docx", "A 48955-2025")</f>
        <v/>
      </c>
      <c r="AC5">
        <f>HYPERLINK("https://klasma.github.io/Logging_1442/tillsyn/A 48955-2025 tillsynsbegäran.docx", "A 48955-2025")</f>
        <v/>
      </c>
      <c r="AD5">
        <f>HYPERLINK("https://klasma.github.io/Logging_1442/tillsynsmail/A 48955-2025 tillsynsbegäran mail.docx", "A 48955-2025")</f>
        <v/>
      </c>
    </row>
    <row r="6" ht="15" customHeight="1">
      <c r="A6" t="inlineStr">
        <is>
          <t>A 48760-2025</t>
        </is>
      </c>
      <c r="B6" t="inlineStr">
        <is>
          <t>avverkningsanmälan</t>
        </is>
      </c>
      <c r="C6" t="inlineStr">
        <is>
          <t>Föryngringsavverkning</t>
        </is>
      </c>
      <c r="D6" s="1" t="n">
        <v>45936</v>
      </c>
      <c r="E6" s="1" t="n">
        <v>46322</v>
      </c>
      <c r="F6" t="inlineStr">
        <is>
          <t>VÄSTRA GÖTALANDS LÄN</t>
        </is>
      </c>
      <c r="G6" t="inlineStr">
        <is>
          <t>VÅRGÅRDA</t>
        </is>
      </c>
      <c r="I6" t="n">
        <v>1.2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1</v>
      </c>
      <c r="R6" t="n">
        <v>1</v>
      </c>
      <c r="S6" t="n">
        <v>1</v>
      </c>
      <c r="T6" t="n">
        <v>1</v>
      </c>
      <c r="U6" t="n">
        <v>0</v>
      </c>
      <c r="V6" s="2" t="inlineStr">
        <is>
          <t>Slåttergubbe</t>
        </is>
      </c>
      <c r="W6">
        <f>HYPERLINK("https://klasma.github.io/Logging_1442/artfynd/A 48760-2025 artfynd.xlsx", "A 48760-2025")</f>
        <v/>
      </c>
      <c r="X6">
        <f>HYPERLINK("https://klasma.github.io/Logging_1442/kartor/A 48760-2025 karta.png", "A 48760-2025")</f>
        <v/>
      </c>
      <c r="Y6">
        <f>HYPERLINK("https://klasma.github.io/Logging_1442/kartor_geotiff/A 48760-2025 georefererad karta.tif", "A 48760-2025")</f>
        <v/>
      </c>
      <c r="AA6">
        <f>HYPERLINK("https://klasma.github.io/Logging_1442/klagomål/A 48760-2025 FSC-klagomål.docx", "A 48760-2025")</f>
        <v/>
      </c>
      <c r="AB6">
        <f>HYPERLINK("https://klasma.github.io/Logging_1442/klagomålsmail/A 48760-2025 FSC-klagomål mail.docx", "A 48760-2025")</f>
        <v/>
      </c>
      <c r="AC6">
        <f>HYPERLINK("https://klasma.github.io/Logging_1442/tillsyn/A 48760-2025 tillsynsbegäran.docx", "A 48760-2025")</f>
        <v/>
      </c>
      <c r="AD6">
        <f>HYPERLINK("https://klasma.github.io/Logging_1442/tillsynsmail/A 48760-2025 tillsynsbegäran mail.docx", "A 48760-2025")</f>
        <v/>
      </c>
    </row>
    <row r="7" ht="15" customHeight="1">
      <c r="A7" t="inlineStr">
        <is>
          <t>A 16590-2025</t>
        </is>
      </c>
      <c r="B7" t="inlineStr">
        <is>
          <t>avverkningsanmälan</t>
        </is>
      </c>
      <c r="C7" t="inlineStr">
        <is>
          <t>Föryngringsavverkning</t>
        </is>
      </c>
      <c r="D7" s="1" t="n">
        <v>45752</v>
      </c>
      <c r="E7" s="1" t="n">
        <v>46322</v>
      </c>
      <c r="F7" t="inlineStr">
        <is>
          <t>VÄSTRA GÖTALANDS LÄN</t>
        </is>
      </c>
      <c r="G7" t="inlineStr">
        <is>
          <t>VÅRGÅRDA</t>
        </is>
      </c>
      <c r="I7" t="n">
        <v>3.1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1</v>
      </c>
      <c r="T7" t="n">
        <v>1</v>
      </c>
      <c r="U7" t="n">
        <v>0</v>
      </c>
      <c r="V7" s="2" t="inlineStr">
        <is>
          <t>Granspira</t>
        </is>
      </c>
      <c r="W7">
        <f>HYPERLINK("https://klasma.github.io/Logging_1442/artfynd/A 16590-2025 artfynd.xlsx", "A 16590-2025")</f>
        <v/>
      </c>
      <c r="X7">
        <f>HYPERLINK("https://klasma.github.io/Logging_1442/kartor/A 16590-2025 karta.png", "A 16590-2025")</f>
        <v/>
      </c>
      <c r="Y7">
        <f>HYPERLINK("https://klasma.github.io/Logging_1442/kartor_geotiff/A 16590-2025 georefererad karta.tif", "A 16590-2025")</f>
        <v/>
      </c>
      <c r="AA7">
        <f>HYPERLINK("https://klasma.github.io/Logging_1442/klagomål/A 16590-2025 FSC-klagomål.docx", "A 16590-2025")</f>
        <v/>
      </c>
      <c r="AB7">
        <f>HYPERLINK("https://klasma.github.io/Logging_1442/klagomålsmail/A 16590-2025 FSC-klagomål mail.docx", "A 16590-2025")</f>
        <v/>
      </c>
      <c r="AC7">
        <f>HYPERLINK("https://klasma.github.io/Logging_1442/tillsyn/A 16590-2025 tillsynsbegäran.docx", "A 16590-2025")</f>
        <v/>
      </c>
      <c r="AD7">
        <f>HYPERLINK("https://klasma.github.io/Logging_1442/tillsynsmail/A 16590-2025 tillsynsbegäran mail.docx", "A 16590-2025")</f>
        <v/>
      </c>
    </row>
    <row r="8" ht="15" customHeight="1">
      <c r="A8" t="inlineStr">
        <is>
          <t>A 59508-2025</t>
        </is>
      </c>
      <c r="B8" t="inlineStr">
        <is>
          <t>avverkningsanmälan</t>
        </is>
      </c>
      <c r="C8" t="inlineStr">
        <is>
          <t>Föryngringsavverkning</t>
        </is>
      </c>
      <c r="D8" s="1" t="n">
        <v>45989</v>
      </c>
      <c r="E8" s="1" t="n">
        <v>46322</v>
      </c>
      <c r="F8" t="inlineStr">
        <is>
          <t>VÄSTRA GÖTALANDS LÄN</t>
        </is>
      </c>
      <c r="G8" t="inlineStr">
        <is>
          <t>VÅRGÅRDA</t>
        </is>
      </c>
      <c r="H8" t="inlineStr">
        <is>
          <t>Kyrkan</t>
        </is>
      </c>
      <c r="I8" t="n">
        <v>4.2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1</v>
      </c>
      <c r="T8" t="n">
        <v>1</v>
      </c>
      <c r="U8" t="n">
        <v>0</v>
      </c>
      <c r="V8" s="2" t="inlineStr">
        <is>
          <t>Jungfrulin</t>
        </is>
      </c>
      <c r="W8">
        <f>HYPERLINK("https://klasma.github.io/Logging_1442/artfynd/A 59508-2025 artfynd.xlsx", "A 59508-2025")</f>
        <v/>
      </c>
      <c r="X8">
        <f>HYPERLINK("https://klasma.github.io/Logging_1442/kartor/A 59508-2025 karta.png", "A 59508-2025")</f>
        <v/>
      </c>
      <c r="Y8">
        <f>HYPERLINK("https://klasma.github.io/Logging_1442/kartor_geotiff/A 59508-2025 georefererad karta.tif", "A 59508-2025")</f>
        <v/>
      </c>
      <c r="AA8">
        <f>HYPERLINK("https://klasma.github.io/Logging_1442/klagomål/A 59508-2025 FSC-klagomål.docx", "A 59508-2025")</f>
        <v/>
      </c>
      <c r="AB8">
        <f>HYPERLINK("https://klasma.github.io/Logging_1442/klagomålsmail/A 59508-2025 FSC-klagomål mail.docx", "A 59508-2025")</f>
        <v/>
      </c>
      <c r="AC8">
        <f>HYPERLINK("https://klasma.github.io/Logging_1442/tillsyn/A 59508-2025 tillsynsbegäran.docx", "A 59508-2025")</f>
        <v/>
      </c>
      <c r="AD8">
        <f>HYPERLINK("https://klasma.github.io/Logging_1442/tillsynsmail/A 59508-2025 tillsynsbegäran mail.docx", "A 59508-2025")</f>
        <v/>
      </c>
    </row>
    <row r="9" ht="15" customHeight="1">
      <c r="A9" t="inlineStr">
        <is>
          <t>A 2412-2026</t>
        </is>
      </c>
      <c r="B9" t="inlineStr">
        <is>
          <t>avverkningsanmälan</t>
        </is>
      </c>
      <c r="C9" t="inlineStr">
        <is>
          <t>Föryngringsavverkning</t>
        </is>
      </c>
      <c r="D9" s="1" t="n">
        <v>46036</v>
      </c>
      <c r="E9" s="1" t="n">
        <v>46322</v>
      </c>
      <c r="F9" t="inlineStr">
        <is>
          <t>VÄSTRA GÖTALANDS LÄN</t>
        </is>
      </c>
      <c r="G9" t="inlineStr">
        <is>
          <t>VÅRGÅRDA</t>
        </is>
      </c>
      <c r="I9" t="n">
        <v>4.4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1</v>
      </c>
      <c r="T9" t="n">
        <v>1</v>
      </c>
      <c r="U9" t="n">
        <v>0</v>
      </c>
      <c r="V9" s="2" t="inlineStr">
        <is>
          <t>Svinrot</t>
        </is>
      </c>
      <c r="W9">
        <f>HYPERLINK("https://klasma.github.io/Logging_1442/artfynd/A 2412-2026 artfynd.xlsx", "A 2412-2026")</f>
        <v/>
      </c>
      <c r="X9">
        <f>HYPERLINK("https://klasma.github.io/Logging_1442/kartor/A 2412-2026 karta.png", "A 2412-2026")</f>
        <v/>
      </c>
      <c r="Y9">
        <f>HYPERLINK("https://klasma.github.io/Logging_1442/kartor_geotiff/A 2412-2026 georefererad karta.tif", "A 2412-2026")</f>
        <v/>
      </c>
      <c r="AA9">
        <f>HYPERLINK("https://klasma.github.io/Logging_1442/klagomål/A 2412-2026 FSC-klagomål.docx", "A 2412-2026")</f>
        <v/>
      </c>
      <c r="AB9">
        <f>HYPERLINK("https://klasma.github.io/Logging_1442/klagomålsmail/A 2412-2026 FSC-klagomål mail.docx", "A 2412-2026")</f>
        <v/>
      </c>
      <c r="AC9">
        <f>HYPERLINK("https://klasma.github.io/Logging_1442/tillsyn/A 2412-2026 tillsynsbegäran.docx", "A 2412-2026")</f>
        <v/>
      </c>
      <c r="AD9">
        <f>HYPERLINK("https://klasma.github.io/Logging_1442/tillsynsmail/A 2412-2026 tillsynsbegäran mail.docx", "A 2412-2026")</f>
        <v/>
      </c>
    </row>
    <row r="10" ht="15" customHeight="1">
      <c r="A10" t="inlineStr">
        <is>
          <t>A 7533-2026</t>
        </is>
      </c>
      <c r="B10" t="inlineStr">
        <is>
          <t>avverkningsanmälan</t>
        </is>
      </c>
      <c r="C10" t="inlineStr">
        <is>
          <t>Föryngringsavverkning</t>
        </is>
      </c>
      <c r="D10" s="1" t="n">
        <v>46059</v>
      </c>
      <c r="E10" s="1" t="n">
        <v>46322</v>
      </c>
      <c r="F10" t="inlineStr">
        <is>
          <t>VÄSTRA GÖTALANDS LÄN</t>
        </is>
      </c>
      <c r="G10" t="inlineStr">
        <is>
          <t>VÅRGÅRDA</t>
        </is>
      </c>
      <c r="I10" t="n">
        <v>4.7</v>
      </c>
      <c r="J10" t="n">
        <v>0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1</v>
      </c>
      <c r="R10" t="n">
        <v>1</v>
      </c>
      <c r="S10" t="n">
        <v>1</v>
      </c>
      <c r="T10" t="n">
        <v>1</v>
      </c>
      <c r="U10" t="n">
        <v>0</v>
      </c>
      <c r="V10" s="2" t="inlineStr">
        <is>
          <t>Slåttergubbe</t>
        </is>
      </c>
      <c r="W10">
        <f>HYPERLINK("https://klasma.github.io/Logging_1442/artfynd/A 7533-2026 artfynd.xlsx", "A 7533-2026")</f>
        <v/>
      </c>
      <c r="X10">
        <f>HYPERLINK("https://klasma.github.io/Logging_1442/kartor/A 7533-2026 karta.png", "A 7533-2026")</f>
        <v/>
      </c>
      <c r="Y10">
        <f>HYPERLINK("https://klasma.github.io/Logging_1442/kartor_geotiff/A 7533-2026 georefererad karta.tif", "A 7533-2026")</f>
        <v/>
      </c>
      <c r="AA10">
        <f>HYPERLINK("https://klasma.github.io/Logging_1442/klagomål/A 7533-2026 FSC-klagomål.docx", "A 7533-2026")</f>
        <v/>
      </c>
      <c r="AB10">
        <f>HYPERLINK("https://klasma.github.io/Logging_1442/klagomålsmail/A 7533-2026 FSC-klagomål mail.docx", "A 7533-2026")</f>
        <v/>
      </c>
      <c r="AC10">
        <f>HYPERLINK("https://klasma.github.io/Logging_1442/tillsyn/A 7533-2026 tillsynsbegäran.docx", "A 7533-2026")</f>
        <v/>
      </c>
      <c r="AD10">
        <f>HYPERLINK("https://klasma.github.io/Logging_1442/tillsynsmail/A 7533-2026 tillsynsbegäran mail.docx", "A 7533-2026")</f>
        <v/>
      </c>
    </row>
    <row r="11" ht="15" customHeight="1">
      <c r="A11" t="inlineStr">
        <is>
          <t>A 11214-2023</t>
        </is>
      </c>
      <c r="B11" t="inlineStr">
        <is>
          <t>avverkningsanmälan</t>
        </is>
      </c>
      <c r="C11" t="inlineStr">
        <is>
          <t>Avverkning för annat ändamål</t>
        </is>
      </c>
      <c r="D11" s="1" t="n">
        <v>44992</v>
      </c>
      <c r="E11" s="1" t="n">
        <v>46322</v>
      </c>
      <c r="F11" t="inlineStr">
        <is>
          <t>VÄSTRA GÖTALANDS LÄN</t>
        </is>
      </c>
      <c r="G11" t="inlineStr">
        <is>
          <t>VÅRGÅRDA</t>
        </is>
      </c>
      <c r="I11" t="n">
        <v>1.9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1</v>
      </c>
      <c r="R11" t="n">
        <v>1</v>
      </c>
      <c r="S11" t="n">
        <v>1</v>
      </c>
      <c r="T11" t="n">
        <v>1</v>
      </c>
      <c r="U11" t="n">
        <v>0</v>
      </c>
      <c r="V11" s="2" t="inlineStr">
        <is>
          <t>Stare</t>
        </is>
      </c>
      <c r="W11">
        <f>HYPERLINK("https://klasma.github.io/Logging_1442/artfynd/A 11214-2023 artfynd.xlsx", "A 11214-2023")</f>
        <v/>
      </c>
      <c r="X11">
        <f>HYPERLINK("https://klasma.github.io/Logging_1442/kartor/A 11214-2023 karta.png", "A 11214-2023")</f>
        <v/>
      </c>
      <c r="Y11">
        <f>HYPERLINK("https://klasma.github.io/Logging_1442/kartor_geotiff/A 11214-2023 georefererad karta.tif", "A 11214-2023")</f>
        <v/>
      </c>
      <c r="AA11">
        <f>HYPERLINK("https://klasma.github.io/Logging_1442/klagomål/A 11214-2023 FSC-klagomål.docx", "A 11214-2023")</f>
        <v/>
      </c>
      <c r="AB11">
        <f>HYPERLINK("https://klasma.github.io/Logging_1442/klagomålsmail/A 11214-2023 FSC-klagomål mail.docx", "A 11214-2023")</f>
        <v/>
      </c>
      <c r="AC11">
        <f>HYPERLINK("https://klasma.github.io/Logging_1442/tillsyn/A 11214-2023 tillsynsbegäran.docx", "A 11214-2023")</f>
        <v/>
      </c>
      <c r="AD11">
        <f>HYPERLINK("https://klasma.github.io/Logging_1442/tillsynsmail/A 11214-2023 tillsynsbegäran mail.docx", "A 11214-2023")</f>
        <v/>
      </c>
      <c r="AE11">
        <f>HYPERLINK("https://klasma.github.io/Logging_1442/fåglar/A 11214-2023 prioriterade fågelarter.docx", "A 11214-2023")</f>
        <v/>
      </c>
    </row>
    <row r="12" ht="15" customHeight="1">
      <c r="A12" t="inlineStr">
        <is>
          <t>A 8657-2026</t>
        </is>
      </c>
      <c r="B12" t="inlineStr">
        <is>
          <t>avverkningsanmälan</t>
        </is>
      </c>
      <c r="C12" t="inlineStr">
        <is>
          <t>Föryngringsavverkning</t>
        </is>
      </c>
      <c r="D12" s="1" t="n">
        <v>46066</v>
      </c>
      <c r="E12" s="1" t="n">
        <v>46322</v>
      </c>
      <c r="F12" t="inlineStr">
        <is>
          <t>VÄSTRA GÖTALANDS LÄN</t>
        </is>
      </c>
      <c r="G12" t="inlineStr">
        <is>
          <t>VÅRGÅRDA</t>
        </is>
      </c>
      <c r="I12" t="n">
        <v>10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1</v>
      </c>
      <c r="U12" t="n">
        <v>0</v>
      </c>
      <c r="V12" s="2" t="inlineStr">
        <is>
          <t>Blomkålssvamp</t>
        </is>
      </c>
      <c r="W12">
        <f>HYPERLINK("https://klasma.github.io/Logging_1442/artfynd/A 8657-2026 artfynd.xlsx", "A 8657-2026")</f>
        <v/>
      </c>
      <c r="X12">
        <f>HYPERLINK("https://klasma.github.io/Logging_1442/kartor/A 8657-2026 karta.png", "A 8657-2026")</f>
        <v/>
      </c>
      <c r="Y12">
        <f>HYPERLINK("https://klasma.github.io/Logging_1442/kartor_geotiff/A 8657-2026 georefererad karta.tif", "A 8657-2026")</f>
        <v/>
      </c>
      <c r="AA12">
        <f>HYPERLINK("https://klasma.github.io/Logging_1442/klagomål/A 8657-2026 FSC-klagomål.docx", "A 8657-2026")</f>
        <v/>
      </c>
      <c r="AB12">
        <f>HYPERLINK("https://klasma.github.io/Logging_1442/klagomålsmail/A 8657-2026 FSC-klagomål mail.docx", "A 8657-2026")</f>
        <v/>
      </c>
      <c r="AC12">
        <f>HYPERLINK("https://klasma.github.io/Logging_1442/tillsyn/A 8657-2026 tillsynsbegäran.docx", "A 8657-2026")</f>
        <v/>
      </c>
      <c r="AD12">
        <f>HYPERLINK("https://klasma.github.io/Logging_1442/tillsynsmail/A 8657-2026 tillsynsbegäran mail.docx", "A 8657-2026")</f>
        <v/>
      </c>
    </row>
    <row r="13" ht="15" customHeight="1">
      <c r="A13" t="inlineStr">
        <is>
          <t>A 16912-2025</t>
        </is>
      </c>
      <c r="B13" t="inlineStr">
        <is>
          <t>avverkningsanmälan</t>
        </is>
      </c>
      <c r="C13" t="inlineStr">
        <is>
          <t>Föryngringsavverkning</t>
        </is>
      </c>
      <c r="D13" s="1" t="n">
        <v>45755</v>
      </c>
      <c r="E13" s="1" t="n">
        <v>46322</v>
      </c>
      <c r="F13" t="inlineStr">
        <is>
          <t>VÄSTRA GÖTALANDS LÄN</t>
        </is>
      </c>
      <c r="G13" t="inlineStr">
        <is>
          <t>VÅRGÅRDA</t>
        </is>
      </c>
      <c r="I13" t="n">
        <v>3.1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1</v>
      </c>
      <c r="T13" t="n">
        <v>1</v>
      </c>
      <c r="U13" t="n">
        <v>0</v>
      </c>
      <c r="V13" s="2" t="inlineStr">
        <is>
          <t>Granspira</t>
        </is>
      </c>
      <c r="W13">
        <f>HYPERLINK("https://klasma.github.io/Logging_1442/artfynd/A 16912-2025 artfynd.xlsx", "A 16912-2025")</f>
        <v/>
      </c>
      <c r="X13">
        <f>HYPERLINK("https://klasma.github.io/Logging_1442/kartor/A 16912-2025 karta.png", "A 16912-2025")</f>
        <v/>
      </c>
      <c r="Y13">
        <f>HYPERLINK("https://klasma.github.io/Logging_1442/kartor_geotiff/A 16912-2025 georefererad karta.tif", "A 16912-2025")</f>
        <v/>
      </c>
      <c r="AA13">
        <f>HYPERLINK("https://klasma.github.io/Logging_1442/klagomål/A 16912-2025 FSC-klagomål.docx", "A 16912-2025")</f>
        <v/>
      </c>
      <c r="AB13">
        <f>HYPERLINK("https://klasma.github.io/Logging_1442/klagomålsmail/A 16912-2025 FSC-klagomål mail.docx", "A 16912-2025")</f>
        <v/>
      </c>
      <c r="AC13">
        <f>HYPERLINK("https://klasma.github.io/Logging_1442/tillsyn/A 16912-2025 tillsynsbegäran.docx", "A 16912-2025")</f>
        <v/>
      </c>
      <c r="AD13">
        <f>HYPERLINK("https://klasma.github.io/Logging_1442/tillsynsmail/A 16912-2025 tillsynsbegäran mail.docx", "A 16912-2025")</f>
        <v/>
      </c>
    </row>
    <row r="14" ht="15" customHeight="1">
      <c r="A14" t="inlineStr">
        <is>
          <t>A 16587-2025</t>
        </is>
      </c>
      <c r="B14" t="inlineStr">
        <is>
          <t>avverkningsanmälan</t>
        </is>
      </c>
      <c r="C14" t="inlineStr">
        <is>
          <t>Föryngringsavverkning</t>
        </is>
      </c>
      <c r="D14" s="1" t="n">
        <v>45752</v>
      </c>
      <c r="E14" s="1" t="n">
        <v>46322</v>
      </c>
      <c r="F14" t="inlineStr">
        <is>
          <t>VÄSTRA GÖTALANDS LÄN</t>
        </is>
      </c>
      <c r="G14" t="inlineStr">
        <is>
          <t>VÅRGÅRDA</t>
        </is>
      </c>
      <c r="I14" t="n">
        <v>3.1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1</v>
      </c>
      <c r="T14" t="n">
        <v>1</v>
      </c>
      <c r="U14" t="n">
        <v>0</v>
      </c>
      <c r="V14" s="2" t="inlineStr">
        <is>
          <t>Granspira</t>
        </is>
      </c>
      <c r="W14">
        <f>HYPERLINK("https://klasma.github.io/Logging_1442/artfynd/A 16587-2025 artfynd.xlsx", "A 16587-2025")</f>
        <v/>
      </c>
      <c r="X14">
        <f>HYPERLINK("https://klasma.github.io/Logging_1442/kartor/A 16587-2025 karta.png", "A 16587-2025")</f>
        <v/>
      </c>
      <c r="Y14">
        <f>HYPERLINK("https://klasma.github.io/Logging_1442/kartor_geotiff/A 16587-2025 georefererad karta.tif", "A 16587-2025")</f>
        <v/>
      </c>
      <c r="AA14">
        <f>HYPERLINK("https://klasma.github.io/Logging_1442/klagomål/A 16587-2025 FSC-klagomål.docx", "A 16587-2025")</f>
        <v/>
      </c>
      <c r="AB14">
        <f>HYPERLINK("https://klasma.github.io/Logging_1442/klagomålsmail/A 16587-2025 FSC-klagomål mail.docx", "A 16587-2025")</f>
        <v/>
      </c>
      <c r="AC14">
        <f>HYPERLINK("https://klasma.github.io/Logging_1442/tillsyn/A 16587-2025 tillsynsbegäran.docx", "A 16587-2025")</f>
        <v/>
      </c>
      <c r="AD14">
        <f>HYPERLINK("https://klasma.github.io/Logging_1442/tillsynsmail/A 16587-2025 tillsynsbegäran mail.docx", "A 16587-2025")</f>
        <v/>
      </c>
    </row>
    <row r="15" ht="15" customHeight="1">
      <c r="A15" t="inlineStr">
        <is>
          <t>A 39063-2026</t>
        </is>
      </c>
      <c r="B15" t="inlineStr">
        <is>
          <t>avverkningsanmälan</t>
        </is>
      </c>
      <c r="C15" t="inlineStr">
        <is>
          <t>Föryngringsavverkning</t>
        </is>
      </c>
      <c r="D15" s="1" t="n">
        <v>46287</v>
      </c>
      <c r="E15" s="1" t="n">
        <v>46322</v>
      </c>
      <c r="F15" t="inlineStr">
        <is>
          <t>VÄSTRA GÖTALANDS LÄN</t>
        </is>
      </c>
      <c r="G15" t="inlineStr">
        <is>
          <t>VÅRGÅRDA</t>
        </is>
      </c>
      <c r="I15" t="n">
        <v>2.6</v>
      </c>
      <c r="J15" t="n">
        <v>1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1</v>
      </c>
      <c r="T15" t="n">
        <v>1</v>
      </c>
      <c r="U15" t="n">
        <v>0</v>
      </c>
      <c r="V15" s="2" t="inlineStr">
        <is>
          <t>Duvhök</t>
        </is>
      </c>
      <c r="W15">
        <f>HYPERLINK("https://klasma.github.io/Logging_1442/artfynd/A 39063-2026 artfynd.xlsx", "A 39063-2026")</f>
        <v/>
      </c>
      <c r="X15">
        <f>HYPERLINK("https://klasma.github.io/Logging_1442/kartor/A 39063-2026 karta.png", "A 39063-2026")</f>
        <v/>
      </c>
      <c r="Y15">
        <f>HYPERLINK("https://klasma.github.io/Logging_1442/kartor_geotiff/A 39063-2026 georefererad karta.tif", "A 39063-2026")</f>
        <v/>
      </c>
      <c r="AA15">
        <f>HYPERLINK("https://klasma.github.io/Logging_1442/klagomål/A 39063-2026 FSC-klagomål.docx", "A 39063-2026")</f>
        <v/>
      </c>
      <c r="AB15">
        <f>HYPERLINK("https://klasma.github.io/Logging_1442/klagomålsmail/A 39063-2026 FSC-klagomål mail.docx", "A 39063-2026")</f>
        <v/>
      </c>
      <c r="AC15">
        <f>HYPERLINK("https://klasma.github.io/Logging_1442/tillsyn/A 39063-2026 tillsynsbegäran.docx", "A 39063-2026")</f>
        <v/>
      </c>
      <c r="AD15">
        <f>HYPERLINK("https://klasma.github.io/Logging_1442/tillsynsmail/A 39063-2026 tillsynsbegäran mail.docx", "A 39063-2026")</f>
        <v/>
      </c>
      <c r="AE15">
        <f>HYPERLINK("https://klasma.github.io/Logging_1442/fåglar/A 39063-2026 prioriterade fågelarter.docx", "A 39063-2026")</f>
        <v/>
      </c>
    </row>
    <row r="16" ht="15" customHeight="1">
      <c r="A16" t="inlineStr">
        <is>
          <t>A 47506-2023</t>
        </is>
      </c>
      <c r="B16" t="inlineStr">
        <is>
          <t>avverkningsanmälan</t>
        </is>
      </c>
      <c r="C16" t="inlineStr">
        <is>
          <t>Föryngringsavverkning</t>
        </is>
      </c>
      <c r="D16" s="1" t="n">
        <v>45203</v>
      </c>
      <c r="E16" s="1" t="n">
        <v>46322</v>
      </c>
      <c r="F16" t="inlineStr">
        <is>
          <t>VÄSTRA GÖTALANDS LÄN</t>
        </is>
      </c>
      <c r="G16" t="inlineStr">
        <is>
          <t>VÅRGÅRDA</t>
        </is>
      </c>
      <c r="I16" t="n">
        <v>1.4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1</v>
      </c>
      <c r="U16" t="n">
        <v>1</v>
      </c>
      <c r="V16" s="2" t="inlineStr">
        <is>
          <t>Revlummer</t>
        </is>
      </c>
      <c r="W16">
        <f>HYPERLINK("https://klasma.github.io/Logging_1442/artfynd/A 47506-2023 artfynd.xlsx", "A 47506-2023")</f>
        <v/>
      </c>
      <c r="X16">
        <f>HYPERLINK("https://klasma.github.io/Logging_1442/kartor/A 47506-2023 karta.png", "A 47506-2023")</f>
        <v/>
      </c>
      <c r="Y16">
        <f>HYPERLINK("https://klasma.github.io/Logging_1442/kartor_geotiff/A 47506-2023 georefererad karta.tif", "A 47506-2023")</f>
        <v/>
      </c>
      <c r="AA16">
        <f>HYPERLINK("https://klasma.github.io/Logging_1442/klagomål/A 47506-2023 FSC-klagomål.docx", "A 47506-2023")</f>
        <v/>
      </c>
      <c r="AB16">
        <f>HYPERLINK("https://klasma.github.io/Logging_1442/klagomålsmail/A 47506-2023 FSC-klagomål mail.docx", "A 47506-2023")</f>
        <v/>
      </c>
      <c r="AC16">
        <f>HYPERLINK("https://klasma.github.io/Logging_1442/tillsyn/A 47506-2023 tillsynsbegäran.docx", "A 47506-2023")</f>
        <v/>
      </c>
      <c r="AD16">
        <f>HYPERLINK("https://klasma.github.io/Logging_1442/tillsynsmail/A 47506-2023 tillsynsbegäran mail.docx", "A 47506-2023")</f>
        <v/>
      </c>
    </row>
    <row r="17" ht="15" customHeight="1">
      <c r="A17" t="inlineStr">
        <is>
          <t>A 13991-2023</t>
        </is>
      </c>
      <c r="B17" t="inlineStr">
        <is>
          <t>avverkningsanmälan</t>
        </is>
      </c>
      <c r="C17" t="inlineStr">
        <is>
          <t>Föryngringsavverkning</t>
        </is>
      </c>
      <c r="D17" s="1" t="n">
        <v>45008</v>
      </c>
      <c r="E17" s="1" t="n">
        <v>46322</v>
      </c>
      <c r="F17" t="inlineStr">
        <is>
          <t>VÄSTRA GÖTALANDS LÄN</t>
        </is>
      </c>
      <c r="G17" t="inlineStr">
        <is>
          <t>VÅRGÅRDA</t>
        </is>
      </c>
      <c r="I17" t="n">
        <v>0.2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1</v>
      </c>
      <c r="T17" t="n">
        <v>1</v>
      </c>
      <c r="U17" t="n">
        <v>0</v>
      </c>
      <c r="V17" s="2" t="inlineStr">
        <is>
          <t>Borsttåg</t>
        </is>
      </c>
      <c r="W17">
        <f>HYPERLINK("https://klasma.github.io/Logging_1442/artfynd/A 13991-2023 artfynd.xlsx", "A 13991-2023")</f>
        <v/>
      </c>
      <c r="X17">
        <f>HYPERLINK("https://klasma.github.io/Logging_1442/kartor/A 13991-2023 karta.png", "A 13991-2023")</f>
        <v/>
      </c>
      <c r="Y17">
        <f>HYPERLINK("https://klasma.github.io/Logging_1442/kartor_geotiff/A 13991-2023 georefererad karta.tif", "A 13991-2023")</f>
        <v/>
      </c>
      <c r="AA17">
        <f>HYPERLINK("https://klasma.github.io/Logging_1442/klagomål/A 13991-2023 FSC-klagomål.docx", "A 13991-2023")</f>
        <v/>
      </c>
      <c r="AB17">
        <f>HYPERLINK("https://klasma.github.io/Logging_1442/klagomålsmail/A 13991-2023 FSC-klagomål mail.docx", "A 13991-2023")</f>
        <v/>
      </c>
      <c r="AC17">
        <f>HYPERLINK("https://klasma.github.io/Logging_1442/tillsyn/A 13991-2023 tillsynsbegäran.docx", "A 13991-2023")</f>
        <v/>
      </c>
      <c r="AD17">
        <f>HYPERLINK("https://klasma.github.io/Logging_1442/tillsynsmail/A 13991-2023 tillsynsbegäran mail.docx", "A 13991-2023")</f>
        <v/>
      </c>
    </row>
    <row r="18" ht="15" customHeight="1">
      <c r="A18" t="inlineStr">
        <is>
          <t>A 17527-2025</t>
        </is>
      </c>
      <c r="B18" t="inlineStr">
        <is>
          <t>avverkningsanmälan</t>
        </is>
      </c>
      <c r="C18" t="inlineStr">
        <is>
          <t>Föryngringsavverkning</t>
        </is>
      </c>
      <c r="D18" s="1" t="n">
        <v>45757</v>
      </c>
      <c r="E18" s="1" t="n">
        <v>46322</v>
      </c>
      <c r="F18" t="inlineStr">
        <is>
          <t>VÄSTRA GÖTALANDS LÄN</t>
        </is>
      </c>
      <c r="G18" t="inlineStr">
        <is>
          <t>VÅRGÅRDA</t>
        </is>
      </c>
      <c r="I18" t="n">
        <v>3.1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1</v>
      </c>
      <c r="T18" t="n">
        <v>1</v>
      </c>
      <c r="U18" t="n">
        <v>0</v>
      </c>
      <c r="V18" s="2" t="inlineStr">
        <is>
          <t>Granspira</t>
        </is>
      </c>
      <c r="W18">
        <f>HYPERLINK("https://klasma.github.io/Logging_1442/artfynd/A 17527-2025 artfynd.xlsx", "A 17527-2025")</f>
        <v/>
      </c>
      <c r="X18">
        <f>HYPERLINK("https://klasma.github.io/Logging_1442/kartor/A 17527-2025 karta.png", "A 17527-2025")</f>
        <v/>
      </c>
      <c r="Y18">
        <f>HYPERLINK("https://klasma.github.io/Logging_1442/kartor_geotiff/A 17527-2025 georefererad karta.tif", "A 17527-2025")</f>
        <v/>
      </c>
      <c r="AA18">
        <f>HYPERLINK("https://klasma.github.io/Logging_1442/klagomål/A 17527-2025 FSC-klagomål.docx", "A 17527-2025")</f>
        <v/>
      </c>
      <c r="AB18">
        <f>HYPERLINK("https://klasma.github.io/Logging_1442/klagomålsmail/A 17527-2025 FSC-klagomål mail.docx", "A 17527-2025")</f>
        <v/>
      </c>
      <c r="AC18">
        <f>HYPERLINK("https://klasma.github.io/Logging_1442/tillsyn/A 17527-2025 tillsynsbegäran.docx", "A 17527-2025")</f>
        <v/>
      </c>
      <c r="AD18">
        <f>HYPERLINK("https://klasma.github.io/Logging_1442/tillsynsmail/A 17527-2025 tillsynsbegäran mail.docx", "A 17527-2025")</f>
        <v/>
      </c>
    </row>
    <row r="19" ht="15" customHeight="1">
      <c r="A19" t="inlineStr">
        <is>
          <t>A 36951-2026</t>
        </is>
      </c>
      <c r="B19" t="inlineStr">
        <is>
          <t>avverkningsanmälan</t>
        </is>
      </c>
      <c r="C19" t="inlineStr">
        <is>
          <t>Föryngringsavverkning</t>
        </is>
      </c>
      <c r="D19" s="1" t="n">
        <v>46273</v>
      </c>
      <c r="E19" s="1" t="n">
        <v>46322</v>
      </c>
      <c r="F19" t="inlineStr">
        <is>
          <t>VÄSTRA GÖTALANDS LÄN</t>
        </is>
      </c>
      <c r="G19" t="inlineStr">
        <is>
          <t>VÅRGÅRDA</t>
        </is>
      </c>
      <c r="I19" t="n">
        <v>4.3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1</v>
      </c>
      <c r="T19" t="n">
        <v>1</v>
      </c>
      <c r="U19" t="n">
        <v>0</v>
      </c>
      <c r="V19" s="2" t="inlineStr">
        <is>
          <t>Borsttåg</t>
        </is>
      </c>
      <c r="W19">
        <f>HYPERLINK("https://klasma.github.io/Logging_1442/artfynd/A 36951-2026 artfynd.xlsx", "A 36951-2026")</f>
        <v/>
      </c>
      <c r="X19">
        <f>HYPERLINK("https://klasma.github.io/Logging_1442/kartor/A 36951-2026 karta.png", "A 36951-2026")</f>
        <v/>
      </c>
      <c r="Y19">
        <f>HYPERLINK("https://klasma.github.io/Logging_1442/kartor_geotiff/A 36951-2026 georefererad karta.tif", "A 36951-2026")</f>
        <v/>
      </c>
      <c r="AA19">
        <f>HYPERLINK("https://klasma.github.io/Logging_1442/klagomål/A 36951-2026 FSC-klagomål.docx", "A 36951-2026")</f>
        <v/>
      </c>
      <c r="AB19">
        <f>HYPERLINK("https://klasma.github.io/Logging_1442/klagomålsmail/A 36951-2026 FSC-klagomål mail.docx", "A 36951-2026")</f>
        <v/>
      </c>
      <c r="AC19">
        <f>HYPERLINK("https://klasma.github.io/Logging_1442/tillsyn/A 36951-2026 tillsynsbegäran.docx", "A 36951-2026")</f>
        <v/>
      </c>
      <c r="AD19">
        <f>HYPERLINK("https://klasma.github.io/Logging_1442/tillsynsmail/A 36951-2026 tillsynsbegäran mail.docx", "A 36951-2026")</f>
        <v/>
      </c>
    </row>
    <row r="20" ht="15" customHeight="1">
      <c r="A20" t="inlineStr">
        <is>
          <t>S 859-2024</t>
        </is>
      </c>
      <c r="B20" t="inlineStr">
        <is>
          <t>samrådsanmälan</t>
        </is>
      </c>
      <c r="C20" t="inlineStr">
        <is>
          <t>Askåterföring</t>
        </is>
      </c>
      <c r="D20" s="1" t="n">
        <v>45373</v>
      </c>
      <c r="E20" s="1" t="n">
        <v>46322</v>
      </c>
      <c r="F20" t="inlineStr">
        <is>
          <t>VÄSTRA GÖTALANDS LÄN</t>
        </is>
      </c>
      <c r="G20" t="inlineStr">
        <is>
          <t>VÅRGÅRDA</t>
        </is>
      </c>
      <c r="I20" t="n">
        <v>63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1</v>
      </c>
      <c r="U20" t="n">
        <v>1</v>
      </c>
      <c r="V20" s="2" t="inlineStr">
        <is>
          <t>Tibast</t>
        </is>
      </c>
      <c r="W20">
        <f>HYPERLINK("https://klasma.github.io/Logging_1442/artfynd/S 859-2024 artfynd.xlsx", "S 859-2024")</f>
        <v/>
      </c>
      <c r="X20">
        <f>HYPERLINK("https://klasma.github.io/Logging_1442/kartor/S 859-2024 karta.png", "S 859-2024")</f>
        <v/>
      </c>
      <c r="Y20">
        <f>HYPERLINK("https://klasma.github.io/Logging_1442/kartor_geotiff/S 859-2024 georefererad karta.tif", "S 859-2024")</f>
        <v/>
      </c>
      <c r="AA20">
        <f>HYPERLINK("https://klasma.github.io/Logging_1442/klagomål/S 859-2024 FSC-klagomål.docx", "S 859-2024")</f>
        <v/>
      </c>
      <c r="AB20">
        <f>HYPERLINK("https://klasma.github.io/Logging_1442/klagomålsmail/S 859-2024 FSC-klagomål mail.docx", "S 859-2024")</f>
        <v/>
      </c>
      <c r="AC20">
        <f>HYPERLINK("https://klasma.github.io/Logging_1442/tillsyn/S 859-2024 tillsynsbegäran.docx", "S 859-2024")</f>
        <v/>
      </c>
      <c r="AD20">
        <f>HYPERLINK("https://klasma.github.io/Logging_1442/tillsynsmail/S 859-2024 tillsynsbegäran mail.docx", "S 859-2024")</f>
        <v/>
      </c>
    </row>
    <row r="21" ht="15" customHeight="1">
      <c r="A21" t="inlineStr">
        <is>
          <t>A 19473-2022</t>
        </is>
      </c>
      <c r="B21" t="inlineStr">
        <is>
          <t>avverkningsanmälan</t>
        </is>
      </c>
      <c r="C21" t="inlineStr">
        <is>
          <t>Föryngringsavverkning</t>
        </is>
      </c>
      <c r="D21" s="1" t="n">
        <v>44693</v>
      </c>
      <c r="E21" s="1" t="n">
        <v>46322</v>
      </c>
      <c r="F21" t="inlineStr">
        <is>
          <t>VÄSTRA GÖTALANDS LÄN</t>
        </is>
      </c>
      <c r="G21" t="inlineStr">
        <is>
          <t>VÅRGÅRDA</t>
        </is>
      </c>
      <c r="I21" t="n">
        <v>2.1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s="2" t="inlineStr"/>
    </row>
    <row r="22" ht="15" customHeight="1">
      <c r="A22" t="inlineStr">
        <is>
          <t>A 60880-2021</t>
        </is>
      </c>
      <c r="B22" t="inlineStr">
        <is>
          <t>avverkningsanmälan</t>
        </is>
      </c>
      <c r="C22" t="inlineStr">
        <is>
          <t>Föryngringsavverkning</t>
        </is>
      </c>
      <c r="D22" s="1" t="n">
        <v>44496</v>
      </c>
      <c r="E22" s="1" t="n">
        <v>46322</v>
      </c>
      <c r="F22" t="inlineStr">
        <is>
          <t>VÄSTRA GÖTALANDS LÄN</t>
        </is>
      </c>
      <c r="G22" t="inlineStr">
        <is>
          <t>VÅRGÅRDA</t>
        </is>
      </c>
      <c r="I22" t="n">
        <v>1.3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s="2" t="inlineStr"/>
    </row>
    <row r="23" ht="15" customHeight="1">
      <c r="A23" t="inlineStr">
        <is>
          <t>A 64396-2021</t>
        </is>
      </c>
      <c r="B23" t="inlineStr">
        <is>
          <t>avverkningsanmälan</t>
        </is>
      </c>
      <c r="C23" t="inlineStr">
        <is>
          <t>Föryngringsavverkning</t>
        </is>
      </c>
      <c r="D23" s="1" t="n">
        <v>44511</v>
      </c>
      <c r="E23" s="1" t="n">
        <v>46322</v>
      </c>
      <c r="F23" t="inlineStr">
        <is>
          <t>VÄSTRA GÖTALANDS LÄN</t>
        </is>
      </c>
      <c r="G23" t="inlineStr">
        <is>
          <t>VÅRGÅRDA</t>
        </is>
      </c>
      <c r="I23" t="n">
        <v>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s="2" t="inlineStr"/>
    </row>
    <row r="24" ht="15" customHeight="1">
      <c r="A24" t="inlineStr">
        <is>
          <t>A 628-2022</t>
        </is>
      </c>
      <c r="B24" t="inlineStr">
        <is>
          <t>avverkningsanmälan</t>
        </is>
      </c>
      <c r="C24" t="inlineStr">
        <is>
          <t>Föryngringsavverkning</t>
        </is>
      </c>
      <c r="D24" s="1" t="n">
        <v>44568</v>
      </c>
      <c r="E24" s="1" t="n">
        <v>46322</v>
      </c>
      <c r="F24" t="inlineStr">
        <is>
          <t>VÄSTRA GÖTALANDS LÄN</t>
        </is>
      </c>
      <c r="G24" t="inlineStr">
        <is>
          <t>VÅRGÅRDA</t>
        </is>
      </c>
      <c r="I24" t="n">
        <v>8.5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s="2" t="inlineStr"/>
    </row>
    <row r="25" ht="15" customHeight="1">
      <c r="A25" t="inlineStr">
        <is>
          <t>A 6624-2022</t>
        </is>
      </c>
      <c r="B25" t="inlineStr">
        <is>
          <t>avverkningsanmälan</t>
        </is>
      </c>
      <c r="C25" t="inlineStr">
        <is>
          <t>Föryngringsavverkning</t>
        </is>
      </c>
      <c r="D25" s="1" t="n">
        <v>44601</v>
      </c>
      <c r="E25" s="1" t="n">
        <v>46322</v>
      </c>
      <c r="F25" t="inlineStr">
        <is>
          <t>VÄSTRA GÖTALANDS LÄN</t>
        </is>
      </c>
      <c r="G25" t="inlineStr">
        <is>
          <t>VÅRGÅRDA</t>
        </is>
      </c>
      <c r="I25" t="n">
        <v>1.4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s="2" t="inlineStr"/>
    </row>
    <row r="26" ht="15" customHeight="1">
      <c r="A26" t="inlineStr">
        <is>
          <t>A 69935-2021</t>
        </is>
      </c>
      <c r="B26" t="inlineStr">
        <is>
          <t>avverkningsanmälan</t>
        </is>
      </c>
      <c r="C26" t="inlineStr">
        <is>
          <t>Föryngringsavverkning</t>
        </is>
      </c>
      <c r="D26" s="1" t="n">
        <v>44533</v>
      </c>
      <c r="E26" s="1" t="n">
        <v>46322</v>
      </c>
      <c r="F26" t="inlineStr">
        <is>
          <t>VÄSTRA GÖTALANDS LÄN</t>
        </is>
      </c>
      <c r="G26" t="inlineStr">
        <is>
          <t>VÅRGÅRDA</t>
        </is>
      </c>
      <c r="I26" t="n">
        <v>1.2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s="2" t="inlineStr"/>
    </row>
    <row r="27" ht="15" customHeight="1">
      <c r="A27" t="inlineStr">
        <is>
          <t>A 1109-2022</t>
        </is>
      </c>
      <c r="B27" t="inlineStr">
        <is>
          <t>avverkningsanmälan</t>
        </is>
      </c>
      <c r="C27" t="inlineStr">
        <is>
          <t>Föryngringsavverkning</t>
        </is>
      </c>
      <c r="D27" s="1" t="n">
        <v>44572</v>
      </c>
      <c r="E27" s="1" t="n">
        <v>46322</v>
      </c>
      <c r="F27" t="inlineStr">
        <is>
          <t>VÄSTRA GÖTALANDS LÄN</t>
        </is>
      </c>
      <c r="G27" t="inlineStr">
        <is>
          <t>VÅRGÅRDA</t>
        </is>
      </c>
      <c r="I27" t="n">
        <v>3.2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s="2" t="inlineStr"/>
    </row>
    <row r="28" ht="15" customHeight="1">
      <c r="A28" t="inlineStr">
        <is>
          <t>A 60865-2021</t>
        </is>
      </c>
      <c r="B28" t="inlineStr">
        <is>
          <t>avverkningsanmälan</t>
        </is>
      </c>
      <c r="C28" t="inlineStr">
        <is>
          <t>Föryngringsavverkning</t>
        </is>
      </c>
      <c r="D28" s="1" t="n">
        <v>44496</v>
      </c>
      <c r="E28" s="1" t="n">
        <v>46322</v>
      </c>
      <c r="F28" t="inlineStr">
        <is>
          <t>VÄSTRA GÖTALANDS LÄN</t>
        </is>
      </c>
      <c r="G28" t="inlineStr">
        <is>
          <t>VÅRGÅRDA</t>
        </is>
      </c>
      <c r="I28" t="n">
        <v>1.5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s="2" t="inlineStr"/>
    </row>
    <row r="29" ht="15" customHeight="1">
      <c r="A29" t="inlineStr">
        <is>
          <t>A 17201-2022</t>
        </is>
      </c>
      <c r="B29" t="inlineStr">
        <is>
          <t>avverkningsanmälan</t>
        </is>
      </c>
      <c r="C29" t="inlineStr">
        <is>
          <t>Avverkning för annat ändamål</t>
        </is>
      </c>
      <c r="D29" s="1" t="n">
        <v>44677</v>
      </c>
      <c r="E29" s="1" t="n">
        <v>46322</v>
      </c>
      <c r="F29" t="inlineStr">
        <is>
          <t>VÄSTRA GÖTALANDS LÄN</t>
        </is>
      </c>
      <c r="G29" t="inlineStr">
        <is>
          <t>VÅRGÅRDA</t>
        </is>
      </c>
      <c r="I29" t="n">
        <v>1.6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s="2" t="inlineStr"/>
    </row>
    <row r="30" ht="15" customHeight="1">
      <c r="A30" t="inlineStr">
        <is>
          <t>A 39499-2022</t>
        </is>
      </c>
      <c r="B30" t="inlineStr">
        <is>
          <t>avverkningsanmälan</t>
        </is>
      </c>
      <c r="C30" t="inlineStr">
        <is>
          <t>Föryngringsavverkning</t>
        </is>
      </c>
      <c r="D30" s="1" t="n">
        <v>44818</v>
      </c>
      <c r="E30" s="1" t="n">
        <v>46322</v>
      </c>
      <c r="F30" t="inlineStr">
        <is>
          <t>VÄSTRA GÖTALANDS LÄN</t>
        </is>
      </c>
      <c r="G30" t="inlineStr">
        <is>
          <t>VÅRGÅRDA</t>
        </is>
      </c>
      <c r="I30" t="n">
        <v>8.300000000000001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s="2" t="inlineStr"/>
    </row>
    <row r="31" ht="15" customHeight="1">
      <c r="A31" t="inlineStr">
        <is>
          <t>A 799-2022</t>
        </is>
      </c>
      <c r="B31" t="inlineStr">
        <is>
          <t>avverkningsanmälan</t>
        </is>
      </c>
      <c r="C31" t="inlineStr">
        <is>
          <t>Föryngringsavverkning</t>
        </is>
      </c>
      <c r="D31" s="1" t="n">
        <v>44571</v>
      </c>
      <c r="E31" s="1" t="n">
        <v>46322</v>
      </c>
      <c r="F31" t="inlineStr">
        <is>
          <t>VÄSTRA GÖTALANDS LÄN</t>
        </is>
      </c>
      <c r="G31" t="inlineStr">
        <is>
          <t>VÅRGÅRDA</t>
        </is>
      </c>
      <c r="I31" t="n">
        <v>0.8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s="2" t="inlineStr"/>
    </row>
    <row r="32" ht="15" customHeight="1">
      <c r="A32" t="inlineStr">
        <is>
          <t>A 62049-2021</t>
        </is>
      </c>
      <c r="B32" t="inlineStr">
        <is>
          <t>avverkningsanmälan</t>
        </is>
      </c>
      <c r="C32" t="inlineStr">
        <is>
          <t>Föryngringsavverkning</t>
        </is>
      </c>
      <c r="D32" s="1" t="n">
        <v>44501</v>
      </c>
      <c r="E32" s="1" t="n">
        <v>46322</v>
      </c>
      <c r="F32" t="inlineStr">
        <is>
          <t>VÄSTRA GÖTALANDS LÄN</t>
        </is>
      </c>
      <c r="G32" t="inlineStr">
        <is>
          <t>VÅRGÅRDA</t>
        </is>
      </c>
      <c r="I32" t="n">
        <v>0.9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s="2" t="inlineStr"/>
    </row>
    <row r="33" ht="15" customHeight="1">
      <c r="A33" t="inlineStr">
        <is>
          <t>A 63142-2021</t>
        </is>
      </c>
      <c r="B33" t="inlineStr">
        <is>
          <t>avverkningsanmälan</t>
        </is>
      </c>
      <c r="C33" t="inlineStr">
        <is>
          <t>Föryngringsavverkning</t>
        </is>
      </c>
      <c r="D33" s="1" t="n">
        <v>44505</v>
      </c>
      <c r="E33" s="1" t="n">
        <v>46322</v>
      </c>
      <c r="F33" t="inlineStr">
        <is>
          <t>VÄSTRA GÖTALANDS LÄN</t>
        </is>
      </c>
      <c r="G33" t="inlineStr">
        <is>
          <t>VÅRGÅRDA</t>
        </is>
      </c>
      <c r="I33" t="n">
        <v>1.5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s="2" t="inlineStr"/>
    </row>
    <row r="34" ht="15" customHeight="1">
      <c r="A34" t="inlineStr">
        <is>
          <t>A 27615-2022</t>
        </is>
      </c>
      <c r="B34" t="inlineStr">
        <is>
          <t>avverkningsanmälan</t>
        </is>
      </c>
      <c r="C34" t="inlineStr">
        <is>
          <t>Föryngringsavverkning</t>
        </is>
      </c>
      <c r="D34" s="1" t="n">
        <v>44743</v>
      </c>
      <c r="E34" s="1" t="n">
        <v>46322</v>
      </c>
      <c r="F34" t="inlineStr">
        <is>
          <t>VÄSTRA GÖTALANDS LÄN</t>
        </is>
      </c>
      <c r="G34" t="inlineStr">
        <is>
          <t>VÅRGÅRDA</t>
        </is>
      </c>
      <c r="I34" t="n">
        <v>0.8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s="2" t="inlineStr"/>
    </row>
    <row r="35" ht="15" customHeight="1">
      <c r="A35" t="inlineStr">
        <is>
          <t>A 7531-2022</t>
        </is>
      </c>
      <c r="B35" t="inlineStr">
        <is>
          <t>avverkningsanmälan</t>
        </is>
      </c>
      <c r="C35" t="inlineStr">
        <is>
          <t>Föryngringsavverkning</t>
        </is>
      </c>
      <c r="D35" s="1" t="n">
        <v>44607</v>
      </c>
      <c r="E35" s="1" t="n">
        <v>46322</v>
      </c>
      <c r="F35" t="inlineStr">
        <is>
          <t>VÄSTRA GÖTALANDS LÄN</t>
        </is>
      </c>
      <c r="G35" t="inlineStr">
        <is>
          <t>VÅRGÅRDA</t>
        </is>
      </c>
      <c r="I35" t="n">
        <v>2.6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s="2" t="inlineStr"/>
    </row>
    <row r="36" ht="15" customHeight="1">
      <c r="A36" t="inlineStr">
        <is>
          <t>A 2597-2022</t>
        </is>
      </c>
      <c r="B36" t="inlineStr">
        <is>
          <t>avverkningsanmälan</t>
        </is>
      </c>
      <c r="C36" t="inlineStr">
        <is>
          <t>Föryngringsavverkning</t>
        </is>
      </c>
      <c r="D36" s="1" t="n">
        <v>44580</v>
      </c>
      <c r="E36" s="1" t="n">
        <v>46322</v>
      </c>
      <c r="F36" t="inlineStr">
        <is>
          <t>VÄSTRA GÖTALANDS LÄN</t>
        </is>
      </c>
      <c r="G36" t="inlineStr">
        <is>
          <t>VÅRGÅRDA</t>
        </is>
      </c>
      <c r="I36" t="n">
        <v>2.5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s="2" t="inlineStr"/>
    </row>
    <row r="37" ht="15" customHeight="1">
      <c r="A37" t="inlineStr">
        <is>
          <t>A 64389-2021</t>
        </is>
      </c>
      <c r="B37" t="inlineStr">
        <is>
          <t>avverkningsanmälan</t>
        </is>
      </c>
      <c r="C37" t="inlineStr">
        <is>
          <t>Föryngringsavverkning</t>
        </is>
      </c>
      <c r="D37" s="1" t="n">
        <v>44511</v>
      </c>
      <c r="E37" s="1" t="n">
        <v>46322</v>
      </c>
      <c r="F37" t="inlineStr">
        <is>
          <t>VÄSTRA GÖTALANDS LÄN</t>
        </is>
      </c>
      <c r="G37" t="inlineStr">
        <is>
          <t>VÅRGÅRDA</t>
        </is>
      </c>
      <c r="I37" t="n">
        <v>2.7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s="2" t="inlineStr"/>
    </row>
    <row r="38" ht="15" customHeight="1">
      <c r="A38" t="inlineStr">
        <is>
          <t>A 37848-2022</t>
        </is>
      </c>
      <c r="B38" t="inlineStr">
        <is>
          <t>avverkningsanmälan</t>
        </is>
      </c>
      <c r="C38" t="inlineStr">
        <is>
          <t>Föryngringsavverkning</t>
        </is>
      </c>
      <c r="D38" s="1" t="n">
        <v>44811</v>
      </c>
      <c r="E38" s="1" t="n">
        <v>46322</v>
      </c>
      <c r="F38" t="inlineStr">
        <is>
          <t>VÄSTRA GÖTALANDS LÄN</t>
        </is>
      </c>
      <c r="G38" t="inlineStr">
        <is>
          <t>VÅRGÅRDA</t>
        </is>
      </c>
      <c r="I38" t="n">
        <v>1.3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s="2" t="inlineStr"/>
    </row>
    <row r="39" ht="15" customHeight="1">
      <c r="A39" t="inlineStr">
        <is>
          <t>A 9470-2022</t>
        </is>
      </c>
      <c r="B39" t="inlineStr">
        <is>
          <t>avverkningsanmälan</t>
        </is>
      </c>
      <c r="C39" t="inlineStr">
        <is>
          <t>Föryngringsavverkning</t>
        </is>
      </c>
      <c r="D39" s="1" t="n">
        <v>44616</v>
      </c>
      <c r="E39" s="1" t="n">
        <v>46322</v>
      </c>
      <c r="F39" t="inlineStr">
        <is>
          <t>VÄSTRA GÖTALANDS LÄN</t>
        </is>
      </c>
      <c r="G39" t="inlineStr">
        <is>
          <t>VÅRGÅRDA</t>
        </is>
      </c>
      <c r="I39" t="n">
        <v>21.5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s="2" t="inlineStr"/>
    </row>
    <row r="40" ht="15" customHeight="1">
      <c r="A40" t="inlineStr">
        <is>
          <t>A 10118-2022</t>
        </is>
      </c>
      <c r="B40" t="inlineStr">
        <is>
          <t>avverkningsanmälan</t>
        </is>
      </c>
      <c r="C40" t="inlineStr">
        <is>
          <t>Föryngringsavverkning</t>
        </is>
      </c>
      <c r="D40" s="1" t="n">
        <v>44621</v>
      </c>
      <c r="E40" s="1" t="n">
        <v>46322</v>
      </c>
      <c r="F40" t="inlineStr">
        <is>
          <t>VÄSTRA GÖTALANDS LÄN</t>
        </is>
      </c>
      <c r="G40" t="inlineStr">
        <is>
          <t>VÅRGÅRDA</t>
        </is>
      </c>
      <c r="I40" t="n">
        <v>0.5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s="2" t="inlineStr"/>
    </row>
    <row r="41" ht="15" customHeight="1">
      <c r="A41" t="inlineStr">
        <is>
          <t>A 62124-2021</t>
        </is>
      </c>
      <c r="B41" t="inlineStr">
        <is>
          <t>avverkningsanmälan</t>
        </is>
      </c>
      <c r="C41" t="inlineStr">
        <is>
          <t>Föryngringsavverkning</t>
        </is>
      </c>
      <c r="D41" s="1" t="n">
        <v>44501</v>
      </c>
      <c r="E41" s="1" t="n">
        <v>46322</v>
      </c>
      <c r="F41" t="inlineStr">
        <is>
          <t>VÄSTRA GÖTALANDS LÄN</t>
        </is>
      </c>
      <c r="G41" t="inlineStr">
        <is>
          <t>VÅRGÅRDA</t>
        </is>
      </c>
      <c r="I41" t="n">
        <v>1.2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s="2" t="inlineStr"/>
    </row>
    <row r="42" ht="15" customHeight="1">
      <c r="A42" t="inlineStr">
        <is>
          <t>A 1367-2022</t>
        </is>
      </c>
      <c r="B42" t="inlineStr">
        <is>
          <t>avverkningsanmälan</t>
        </is>
      </c>
      <c r="C42" t="inlineStr">
        <is>
          <t>Föryngringsavverkning</t>
        </is>
      </c>
      <c r="D42" s="1" t="n">
        <v>44573</v>
      </c>
      <c r="E42" s="1" t="n">
        <v>46322</v>
      </c>
      <c r="F42" t="inlineStr">
        <is>
          <t>VÄSTRA GÖTALANDS LÄN</t>
        </is>
      </c>
      <c r="G42" t="inlineStr">
        <is>
          <t>VÅRGÅRDA</t>
        </is>
      </c>
      <c r="I42" t="n">
        <v>0.4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s="2" t="inlineStr"/>
    </row>
    <row r="43" ht="15" customHeight="1">
      <c r="A43" t="inlineStr">
        <is>
          <t>A 41497-2022</t>
        </is>
      </c>
      <c r="B43" t="inlineStr">
        <is>
          <t>avverkningsanmälan</t>
        </is>
      </c>
      <c r="C43" t="inlineStr">
        <is>
          <t>Föryngringsavverkning</t>
        </is>
      </c>
      <c r="D43" s="1" t="n">
        <v>44826</v>
      </c>
      <c r="E43" s="1" t="n">
        <v>46322</v>
      </c>
      <c r="F43" t="inlineStr">
        <is>
          <t>VÄSTRA GÖTALANDS LÄN</t>
        </is>
      </c>
      <c r="G43" t="inlineStr">
        <is>
          <t>VÅRGÅRDA</t>
        </is>
      </c>
      <c r="I43" t="n">
        <v>2.7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s="2" t="inlineStr"/>
    </row>
    <row r="44" ht="15" customHeight="1">
      <c r="A44" t="inlineStr">
        <is>
          <t>A 15548-2022</t>
        </is>
      </c>
      <c r="B44" t="inlineStr">
        <is>
          <t>avverkningsanmälan</t>
        </is>
      </c>
      <c r="C44" t="inlineStr">
        <is>
          <t>Föryngringsavverkning</t>
        </is>
      </c>
      <c r="D44" s="1" t="n">
        <v>44662</v>
      </c>
      <c r="E44" s="1" t="n">
        <v>46322</v>
      </c>
      <c r="F44" t="inlineStr">
        <is>
          <t>VÄSTRA GÖTALANDS LÄN</t>
        </is>
      </c>
      <c r="G44" t="inlineStr">
        <is>
          <t>VÅRGÅRDA</t>
        </is>
      </c>
      <c r="I44" t="n">
        <v>0.5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s="2" t="inlineStr"/>
    </row>
    <row r="45" ht="15" customHeight="1">
      <c r="A45" t="inlineStr">
        <is>
          <t>A 13506-2022</t>
        </is>
      </c>
      <c r="B45" t="inlineStr">
        <is>
          <t>avverkningsanmälan</t>
        </is>
      </c>
      <c r="C45" t="inlineStr">
        <is>
          <t>Föryngringsavverkning</t>
        </is>
      </c>
      <c r="D45" s="1" t="n">
        <v>44648</v>
      </c>
      <c r="E45" s="1" t="n">
        <v>46322</v>
      </c>
      <c r="F45" t="inlineStr">
        <is>
          <t>VÄSTRA GÖTALANDS LÄN</t>
        </is>
      </c>
      <c r="G45" t="inlineStr">
        <is>
          <t>VÅRGÅRDA</t>
        </is>
      </c>
      <c r="I45" t="n">
        <v>1.5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s="2" t="inlineStr"/>
    </row>
    <row r="46" ht="15" customHeight="1">
      <c r="A46" t="inlineStr">
        <is>
          <t>A 65303-2021</t>
        </is>
      </c>
      <c r="B46" t="inlineStr">
        <is>
          <t>avverkningsanmälan</t>
        </is>
      </c>
      <c r="C46" t="inlineStr">
        <is>
          <t>Föryngringsavverkning</t>
        </is>
      </c>
      <c r="D46" s="1" t="n">
        <v>44515</v>
      </c>
      <c r="E46" s="1" t="n">
        <v>46322</v>
      </c>
      <c r="F46" t="inlineStr">
        <is>
          <t>VÄSTRA GÖTALANDS LÄN</t>
        </is>
      </c>
      <c r="G46" t="inlineStr">
        <is>
          <t>VÅRGÅRDA</t>
        </is>
      </c>
      <c r="I46" t="n">
        <v>1.8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s="2" t="inlineStr"/>
    </row>
    <row r="47" ht="15" customHeight="1">
      <c r="A47" t="inlineStr">
        <is>
          <t>A 14786-2024</t>
        </is>
      </c>
      <c r="B47" t="inlineStr">
        <is>
          <t>avverkningsanmälan</t>
        </is>
      </c>
      <c r="C47" t="inlineStr">
        <is>
          <t>Föryngringsavverkning</t>
        </is>
      </c>
      <c r="D47" s="1" t="n">
        <v>45397</v>
      </c>
      <c r="E47" s="1" t="n">
        <v>46322</v>
      </c>
      <c r="F47" t="inlineStr">
        <is>
          <t>VÄSTRA GÖTALANDS LÄN</t>
        </is>
      </c>
      <c r="G47" t="inlineStr">
        <is>
          <t>VÅRGÅRDA</t>
        </is>
      </c>
      <c r="I47" t="n">
        <v>1.7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s="2" t="inlineStr"/>
    </row>
    <row r="48" ht="15" customHeight="1">
      <c r="A48" t="inlineStr">
        <is>
          <t>A 16282-2025</t>
        </is>
      </c>
      <c r="B48" t="inlineStr">
        <is>
          <t>avverkningsanmälan</t>
        </is>
      </c>
      <c r="C48" t="inlineStr">
        <is>
          <t>Föryngringsavverkning</t>
        </is>
      </c>
      <c r="D48" s="1" t="n">
        <v>45751</v>
      </c>
      <c r="E48" s="1" t="n">
        <v>46322</v>
      </c>
      <c r="F48" t="inlineStr">
        <is>
          <t>VÄSTRA GÖTALANDS LÄN</t>
        </is>
      </c>
      <c r="G48" t="inlineStr">
        <is>
          <t>VÅRGÅRDA</t>
        </is>
      </c>
      <c r="H48" t="inlineStr">
        <is>
          <t>Sveaskog</t>
        </is>
      </c>
      <c r="I48" t="n">
        <v>0.8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s="2" t="inlineStr"/>
    </row>
    <row r="49" ht="15" customHeight="1">
      <c r="A49" t="inlineStr">
        <is>
          <t>A 2345-2023</t>
        </is>
      </c>
      <c r="B49" t="inlineStr">
        <is>
          <t>avverkningsanmälan</t>
        </is>
      </c>
      <c r="C49" t="inlineStr">
        <is>
          <t>Föryngringsavverkning</t>
        </is>
      </c>
      <c r="D49" s="1" t="n">
        <v>44942</v>
      </c>
      <c r="E49" s="1" t="n">
        <v>46322</v>
      </c>
      <c r="F49" t="inlineStr">
        <is>
          <t>VÄSTRA GÖTALANDS LÄN</t>
        </is>
      </c>
      <c r="G49" t="inlineStr">
        <is>
          <t>VÅRGÅRDA</t>
        </is>
      </c>
      <c r="I49" t="n">
        <v>1.7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s="2" t="inlineStr"/>
    </row>
    <row r="50" ht="15" customHeight="1">
      <c r="A50" t="inlineStr">
        <is>
          <t>A 39929-2025</t>
        </is>
      </c>
      <c r="B50" t="inlineStr">
        <is>
          <t>avverkningsanmälan</t>
        </is>
      </c>
      <c r="C50" t="inlineStr">
        <is>
          <t>Föryngringsavverkning</t>
        </is>
      </c>
      <c r="D50" s="1" t="n">
        <v>45891</v>
      </c>
      <c r="E50" s="1" t="n">
        <v>46322</v>
      </c>
      <c r="F50" t="inlineStr">
        <is>
          <t>VÄSTRA GÖTALANDS LÄN</t>
        </is>
      </c>
      <c r="G50" t="inlineStr">
        <is>
          <t>VÅRGÅRDA</t>
        </is>
      </c>
      <c r="I50" t="n">
        <v>3.1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s="2" t="inlineStr"/>
    </row>
    <row r="51" ht="15" customHeight="1">
      <c r="A51" t="inlineStr">
        <is>
          <t>A 17951-2023</t>
        </is>
      </c>
      <c r="B51" t="inlineStr">
        <is>
          <t>avverkningsanmälan</t>
        </is>
      </c>
      <c r="C51" t="inlineStr">
        <is>
          <t>Föryngringsavverkning</t>
        </is>
      </c>
      <c r="D51" s="1" t="n">
        <v>45040</v>
      </c>
      <c r="E51" s="1" t="n">
        <v>46322</v>
      </c>
      <c r="F51" t="inlineStr">
        <is>
          <t>VÄSTRA GÖTALANDS LÄN</t>
        </is>
      </c>
      <c r="G51" t="inlineStr">
        <is>
          <t>VÅRGÅRDA</t>
        </is>
      </c>
      <c r="I51" t="n">
        <v>1.8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s="2" t="inlineStr"/>
    </row>
    <row r="52" ht="15" customHeight="1">
      <c r="A52" t="inlineStr">
        <is>
          <t>A 2995-2024</t>
        </is>
      </c>
      <c r="B52" t="inlineStr">
        <is>
          <t>avverkningsanmälan</t>
        </is>
      </c>
      <c r="C52" t="inlineStr">
        <is>
          <t>Föryngringsavverkning</t>
        </is>
      </c>
      <c r="D52" s="1" t="n">
        <v>45315</v>
      </c>
      <c r="E52" s="1" t="n">
        <v>46322</v>
      </c>
      <c r="F52" t="inlineStr">
        <is>
          <t>VÄSTRA GÖTALANDS LÄN</t>
        </is>
      </c>
      <c r="G52" t="inlineStr">
        <is>
          <t>VÅRGÅRDA</t>
        </is>
      </c>
      <c r="I52" t="n">
        <v>0.6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s="2" t="inlineStr"/>
    </row>
    <row r="53" ht="15" customHeight="1">
      <c r="A53" t="inlineStr">
        <is>
          <t>A 59619-2022</t>
        </is>
      </c>
      <c r="B53" t="inlineStr">
        <is>
          <t>avverkningsanmälan</t>
        </is>
      </c>
      <c r="C53" t="inlineStr">
        <is>
          <t>Föryngringsavverkning</t>
        </is>
      </c>
      <c r="D53" s="1" t="n">
        <v>44907</v>
      </c>
      <c r="E53" s="1" t="n">
        <v>46322</v>
      </c>
      <c r="F53" t="inlineStr">
        <is>
          <t>VÄSTRA GÖTALANDS LÄN</t>
        </is>
      </c>
      <c r="G53" t="inlineStr">
        <is>
          <t>VÅRGÅRDA</t>
        </is>
      </c>
      <c r="I53" t="n">
        <v>3.3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s="2" t="inlineStr"/>
    </row>
    <row r="54" ht="15" customHeight="1">
      <c r="A54" t="inlineStr">
        <is>
          <t>A 64234-2021</t>
        </is>
      </c>
      <c r="B54" t="inlineStr">
        <is>
          <t>avverkningsanmälan</t>
        </is>
      </c>
      <c r="C54" t="inlineStr">
        <is>
          <t>Föryngringsavverkning</t>
        </is>
      </c>
      <c r="D54" s="1" t="n">
        <v>44510</v>
      </c>
      <c r="E54" s="1" t="n">
        <v>46322</v>
      </c>
      <c r="F54" t="inlineStr">
        <is>
          <t>VÄSTRA GÖTALANDS LÄN</t>
        </is>
      </c>
      <c r="G54" t="inlineStr">
        <is>
          <t>VÅRGÅRDA</t>
        </is>
      </c>
      <c r="I54" t="n">
        <v>1.4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s="2" t="inlineStr"/>
    </row>
    <row r="55" ht="15" customHeight="1">
      <c r="A55" t="inlineStr">
        <is>
          <t>A 41625-2025</t>
        </is>
      </c>
      <c r="B55" t="inlineStr">
        <is>
          <t>avverkningsanmälan</t>
        </is>
      </c>
      <c r="C55" t="inlineStr">
        <is>
          <t>Föryngringsavverkning</t>
        </is>
      </c>
      <c r="D55" s="1" t="n">
        <v>45901</v>
      </c>
      <c r="E55" s="1" t="n">
        <v>46322</v>
      </c>
      <c r="F55" t="inlineStr">
        <is>
          <t>VÄSTRA GÖTALANDS LÄN</t>
        </is>
      </c>
      <c r="G55" t="inlineStr">
        <is>
          <t>VÅRGÅRDA</t>
        </is>
      </c>
      <c r="I55" t="n">
        <v>5.4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s="2" t="inlineStr"/>
    </row>
    <row r="56" ht="15" customHeight="1">
      <c r="A56" t="inlineStr">
        <is>
          <t>A 44744-2023</t>
        </is>
      </c>
      <c r="B56" t="inlineStr">
        <is>
          <t>avverkningsanmälan</t>
        </is>
      </c>
      <c r="C56" t="inlineStr">
        <is>
          <t>Föryngringsavverkning</t>
        </is>
      </c>
      <c r="D56" s="1" t="n">
        <v>45190</v>
      </c>
      <c r="E56" s="1" t="n">
        <v>46322</v>
      </c>
      <c r="F56" t="inlineStr">
        <is>
          <t>VÄSTRA GÖTALANDS LÄN</t>
        </is>
      </c>
      <c r="G56" t="inlineStr">
        <is>
          <t>VÅRGÅRDA</t>
        </is>
      </c>
      <c r="I56" t="n">
        <v>2.5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s="2" t="inlineStr"/>
    </row>
    <row r="57" ht="15" customHeight="1">
      <c r="A57" t="inlineStr">
        <is>
          <t>A 26362-2024</t>
        </is>
      </c>
      <c r="B57" t="inlineStr">
        <is>
          <t>avverkningsanmälan</t>
        </is>
      </c>
      <c r="C57" t="inlineStr">
        <is>
          <t>Föryngringsavverkning</t>
        </is>
      </c>
      <c r="D57" s="1" t="n">
        <v>45469</v>
      </c>
      <c r="E57" s="1" t="n">
        <v>46322</v>
      </c>
      <c r="F57" t="inlineStr">
        <is>
          <t>VÄSTRA GÖTALANDS LÄN</t>
        </is>
      </c>
      <c r="G57" t="inlineStr">
        <is>
          <t>VÅRGÅRDA</t>
        </is>
      </c>
      <c r="I57" t="n">
        <v>3.2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s="2" t="inlineStr"/>
    </row>
    <row r="58" ht="15" customHeight="1">
      <c r="A58" t="inlineStr">
        <is>
          <t>A 35055-2025</t>
        </is>
      </c>
      <c r="B58" t="inlineStr">
        <is>
          <t>avverkningsanmälan</t>
        </is>
      </c>
      <c r="C58" t="inlineStr">
        <is>
          <t>Föryngringsavverkning</t>
        </is>
      </c>
      <c r="D58" s="1" t="n">
        <v>45852</v>
      </c>
      <c r="E58" s="1" t="n">
        <v>46322</v>
      </c>
      <c r="F58" t="inlineStr">
        <is>
          <t>VÄSTRA GÖTALANDS LÄN</t>
        </is>
      </c>
      <c r="G58" t="inlineStr">
        <is>
          <t>VÅRGÅRDA</t>
        </is>
      </c>
      <c r="I58" t="n">
        <v>0.1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s="2" t="inlineStr"/>
    </row>
    <row r="59" ht="15" customHeight="1">
      <c r="A59" t="inlineStr">
        <is>
          <t>A 63073-2023</t>
        </is>
      </c>
      <c r="B59" t="inlineStr">
        <is>
          <t>avverkningsanmälan</t>
        </is>
      </c>
      <c r="C59" t="inlineStr">
        <is>
          <t>Föryngringsavverkning</t>
        </is>
      </c>
      <c r="D59" s="1" t="n">
        <v>45273</v>
      </c>
      <c r="E59" s="1" t="n">
        <v>46322</v>
      </c>
      <c r="F59" t="inlineStr">
        <is>
          <t>VÄSTRA GÖTALANDS LÄN</t>
        </is>
      </c>
      <c r="G59" t="inlineStr">
        <is>
          <t>VÅRGÅRDA</t>
        </is>
      </c>
      <c r="I59" t="n">
        <v>0.8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s="2" t="inlineStr"/>
    </row>
    <row r="60" ht="15" customHeight="1">
      <c r="A60" t="inlineStr">
        <is>
          <t>A 9725-2023</t>
        </is>
      </c>
      <c r="B60" t="inlineStr">
        <is>
          <t>avverkningsanmälan</t>
        </is>
      </c>
      <c r="C60" t="inlineStr">
        <is>
          <t>Föryngringsavverkning</t>
        </is>
      </c>
      <c r="D60" s="1" t="n">
        <v>44984</v>
      </c>
      <c r="E60" s="1" t="n">
        <v>46322</v>
      </c>
      <c r="F60" t="inlineStr">
        <is>
          <t>VÄSTRA GÖTALANDS LÄN</t>
        </is>
      </c>
      <c r="G60" t="inlineStr">
        <is>
          <t>VÅRGÅRDA</t>
        </is>
      </c>
      <c r="I60" t="n">
        <v>4.4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s="2" t="inlineStr"/>
    </row>
    <row r="61" ht="15" customHeight="1">
      <c r="A61" t="inlineStr">
        <is>
          <t>A 43214-2025</t>
        </is>
      </c>
      <c r="B61" t="inlineStr">
        <is>
          <t>avverkningsanmälan</t>
        </is>
      </c>
      <c r="C61" t="inlineStr">
        <is>
          <t>Föryngringsavverkning</t>
        </is>
      </c>
      <c r="D61" s="1" t="n">
        <v>45910</v>
      </c>
      <c r="E61" s="1" t="n">
        <v>46322</v>
      </c>
      <c r="F61" t="inlineStr">
        <is>
          <t>VÄSTRA GÖTALANDS LÄN</t>
        </is>
      </c>
      <c r="G61" t="inlineStr">
        <is>
          <t>VÅRGÅRDA</t>
        </is>
      </c>
      <c r="H61" t="inlineStr">
        <is>
          <t>Allmännings- och besparingsskogar</t>
        </is>
      </c>
      <c r="I61" t="n">
        <v>13.8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s="2" t="inlineStr"/>
    </row>
    <row r="62" ht="15" customHeight="1">
      <c r="A62" t="inlineStr">
        <is>
          <t>A 43337-2025</t>
        </is>
      </c>
      <c r="B62" t="inlineStr">
        <is>
          <t>avverkningsanmälan</t>
        </is>
      </c>
      <c r="C62" t="inlineStr">
        <is>
          <t>Föryngringsavverkning</t>
        </is>
      </c>
      <c r="D62" s="1" t="n">
        <v>45910</v>
      </c>
      <c r="E62" s="1" t="n">
        <v>46322</v>
      </c>
      <c r="F62" t="inlineStr">
        <is>
          <t>VÄSTRA GÖTALANDS LÄN</t>
        </is>
      </c>
      <c r="G62" t="inlineStr">
        <is>
          <t>VÅRGÅRDA</t>
        </is>
      </c>
      <c r="I62" t="n">
        <v>1.1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s="2" t="inlineStr"/>
    </row>
    <row r="63" ht="15" customHeight="1">
      <c r="A63" t="inlineStr">
        <is>
          <t>A 43314-2025</t>
        </is>
      </c>
      <c r="B63" t="inlineStr">
        <is>
          <t>avverkningsanmälan</t>
        </is>
      </c>
      <c r="C63" t="inlineStr">
        <is>
          <t>Föryngringsavverkning</t>
        </is>
      </c>
      <c r="D63" s="1" t="n">
        <v>45910</v>
      </c>
      <c r="E63" s="1" t="n">
        <v>46322</v>
      </c>
      <c r="F63" t="inlineStr">
        <is>
          <t>VÄSTRA GÖTALANDS LÄN</t>
        </is>
      </c>
      <c r="G63" t="inlineStr">
        <is>
          <t>VÅRGÅRDA</t>
        </is>
      </c>
      <c r="H63" t="inlineStr">
        <is>
          <t>Allmännings- och besparingsskogar</t>
        </is>
      </c>
      <c r="I63" t="n">
        <v>2.3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s="2" t="inlineStr"/>
    </row>
    <row r="64" ht="15" customHeight="1">
      <c r="A64" t="inlineStr">
        <is>
          <t>A 4550-2024</t>
        </is>
      </c>
      <c r="B64" t="inlineStr">
        <is>
          <t>avverkningsanmälan</t>
        </is>
      </c>
      <c r="C64" t="inlineStr">
        <is>
          <t>Föryngringsavverkning</t>
        </is>
      </c>
      <c r="D64" s="1" t="n">
        <v>45327</v>
      </c>
      <c r="E64" s="1" t="n">
        <v>46322</v>
      </c>
      <c r="F64" t="inlineStr">
        <is>
          <t>VÄSTRA GÖTALANDS LÄN</t>
        </is>
      </c>
      <c r="G64" t="inlineStr">
        <is>
          <t>VÅRGÅRDA</t>
        </is>
      </c>
      <c r="I64" t="n">
        <v>2.6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s="2" t="inlineStr"/>
    </row>
    <row r="65" ht="15" customHeight="1">
      <c r="A65" t="inlineStr">
        <is>
          <t>A 45853-2025</t>
        </is>
      </c>
      <c r="B65" t="inlineStr">
        <is>
          <t>avverkningsanmälan</t>
        </is>
      </c>
      <c r="C65" t="inlineStr">
        <is>
          <t>Föryngringsavverkning</t>
        </is>
      </c>
      <c r="D65" s="1" t="n">
        <v>45923</v>
      </c>
      <c r="E65" s="1" t="n">
        <v>46322</v>
      </c>
      <c r="F65" t="inlineStr">
        <is>
          <t>VÄSTRA GÖTALANDS LÄN</t>
        </is>
      </c>
      <c r="G65" t="inlineStr">
        <is>
          <t>VÅRGÅRDA</t>
        </is>
      </c>
      <c r="I65" t="n">
        <v>2.1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s="2" t="inlineStr"/>
    </row>
    <row r="66" ht="15" customHeight="1">
      <c r="A66" t="inlineStr">
        <is>
          <t>A 45293-2025</t>
        </is>
      </c>
      <c r="B66" t="inlineStr">
        <is>
          <t>avverkningsanmälan</t>
        </is>
      </c>
      <c r="C66" t="inlineStr">
        <is>
          <t>Föryngringsavverkning</t>
        </is>
      </c>
      <c r="D66" s="1" t="n">
        <v>45920</v>
      </c>
      <c r="E66" s="1" t="n">
        <v>46322</v>
      </c>
      <c r="F66" t="inlineStr">
        <is>
          <t>VÄSTRA GÖTALANDS LÄN</t>
        </is>
      </c>
      <c r="G66" t="inlineStr">
        <is>
          <t>VÅRGÅRDA</t>
        </is>
      </c>
      <c r="I66" t="n">
        <v>1.8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s="2" t="inlineStr"/>
    </row>
    <row r="67" ht="15" customHeight="1">
      <c r="A67" t="inlineStr">
        <is>
          <t>A 4845-2024</t>
        </is>
      </c>
      <c r="B67" t="inlineStr">
        <is>
          <t>avverkningsanmälan</t>
        </is>
      </c>
      <c r="C67" t="inlineStr">
        <is>
          <t>Föryngringsavverkning</t>
        </is>
      </c>
      <c r="D67" s="1" t="n">
        <v>45329</v>
      </c>
      <c r="E67" s="1" t="n">
        <v>46322</v>
      </c>
      <c r="F67" t="inlineStr">
        <is>
          <t>VÄSTRA GÖTALANDS LÄN</t>
        </is>
      </c>
      <c r="G67" t="inlineStr">
        <is>
          <t>VÅRGÅRDA</t>
        </is>
      </c>
      <c r="I67" t="n">
        <v>4.4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s="2" t="inlineStr"/>
    </row>
    <row r="68" ht="15" customHeight="1">
      <c r="A68" t="inlineStr">
        <is>
          <t>A 45292-2025</t>
        </is>
      </c>
      <c r="B68" t="inlineStr">
        <is>
          <t>avverkningsanmälan</t>
        </is>
      </c>
      <c r="C68" t="inlineStr">
        <is>
          <t>Föryngringsavverkning</t>
        </is>
      </c>
      <c r="D68" s="1" t="n">
        <v>45920</v>
      </c>
      <c r="E68" s="1" t="n">
        <v>46322</v>
      </c>
      <c r="F68" t="inlineStr">
        <is>
          <t>VÄSTRA GÖTALANDS LÄN</t>
        </is>
      </c>
      <c r="G68" t="inlineStr">
        <is>
          <t>VÅRGÅRDA</t>
        </is>
      </c>
      <c r="I68" t="n">
        <v>2.1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s="2" t="inlineStr"/>
    </row>
    <row r="69" ht="15" customHeight="1">
      <c r="A69" t="inlineStr">
        <is>
          <t>A 37653-2023</t>
        </is>
      </c>
      <c r="B69" t="inlineStr">
        <is>
          <t>avverkningsanmälan</t>
        </is>
      </c>
      <c r="C69" t="inlineStr">
        <is>
          <t>Föryngringsavverkning</t>
        </is>
      </c>
      <c r="D69" s="1" t="n">
        <v>45159</v>
      </c>
      <c r="E69" s="1" t="n">
        <v>46322</v>
      </c>
      <c r="F69" t="inlineStr">
        <is>
          <t>VÄSTRA GÖTALANDS LÄN</t>
        </is>
      </c>
      <c r="G69" t="inlineStr">
        <is>
          <t>VÅRGÅRDA</t>
        </is>
      </c>
      <c r="I69" t="n">
        <v>0.9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s="2" t="inlineStr"/>
    </row>
    <row r="70" ht="15" customHeight="1">
      <c r="A70" t="inlineStr">
        <is>
          <t>A 19319-2025</t>
        </is>
      </c>
      <c r="B70" t="inlineStr">
        <is>
          <t>avverkningsanmälan</t>
        </is>
      </c>
      <c r="C70" t="inlineStr">
        <is>
          <t>Föryngringsavverkning</t>
        </is>
      </c>
      <c r="D70" s="1" t="n">
        <v>45769</v>
      </c>
      <c r="E70" s="1" t="n">
        <v>46322</v>
      </c>
      <c r="F70" t="inlineStr">
        <is>
          <t>VÄSTRA GÖTALANDS LÄN</t>
        </is>
      </c>
      <c r="G70" t="inlineStr">
        <is>
          <t>VÅRGÅRDA</t>
        </is>
      </c>
      <c r="I70" t="n">
        <v>0.9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s="2" t="inlineStr"/>
    </row>
    <row r="71" ht="15" customHeight="1">
      <c r="A71" t="inlineStr">
        <is>
          <t>A 46833-2025</t>
        </is>
      </c>
      <c r="B71" t="inlineStr">
        <is>
          <t>avverkningsanmälan</t>
        </is>
      </c>
      <c r="C71" t="inlineStr">
        <is>
          <t>Föryngringsavverkning</t>
        </is>
      </c>
      <c r="D71" s="1" t="n">
        <v>45927</v>
      </c>
      <c r="E71" s="1" t="n">
        <v>46322</v>
      </c>
      <c r="F71" t="inlineStr">
        <is>
          <t>VÄSTRA GÖTALANDS LÄN</t>
        </is>
      </c>
      <c r="G71" t="inlineStr">
        <is>
          <t>VÅRGÅRDA</t>
        </is>
      </c>
      <c r="I71" t="n">
        <v>0.9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s="2" t="inlineStr"/>
    </row>
    <row r="72" ht="15" customHeight="1">
      <c r="A72" t="inlineStr">
        <is>
          <t>A 48094-2025</t>
        </is>
      </c>
      <c r="B72" t="inlineStr">
        <is>
          <t>avverkningsanmälan</t>
        </is>
      </c>
      <c r="C72" t="inlineStr">
        <is>
          <t>Föryngringsavverkning</t>
        </is>
      </c>
      <c r="D72" s="1" t="n">
        <v>45933</v>
      </c>
      <c r="E72" s="1" t="n">
        <v>46322</v>
      </c>
      <c r="F72" t="inlineStr">
        <is>
          <t>VÄSTRA GÖTALANDS LÄN</t>
        </is>
      </c>
      <c r="G72" t="inlineStr">
        <is>
          <t>VÅRGÅRDA</t>
        </is>
      </c>
      <c r="I72" t="n">
        <v>1.5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s="2" t="inlineStr"/>
    </row>
    <row r="73" ht="15" customHeight="1">
      <c r="A73" t="inlineStr">
        <is>
          <t>A 48082-2025</t>
        </is>
      </c>
      <c r="B73" t="inlineStr">
        <is>
          <t>avverkningsanmälan</t>
        </is>
      </c>
      <c r="C73" t="inlineStr">
        <is>
          <t>Föryngringsavverkning</t>
        </is>
      </c>
      <c r="D73" s="1" t="n">
        <v>45932</v>
      </c>
      <c r="E73" s="1" t="n">
        <v>46322</v>
      </c>
      <c r="F73" t="inlineStr">
        <is>
          <t>VÄSTRA GÖTALANDS LÄN</t>
        </is>
      </c>
      <c r="G73" t="inlineStr">
        <is>
          <t>VÅRGÅRDA</t>
        </is>
      </c>
      <c r="I73" t="n">
        <v>1.4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s="2" t="inlineStr"/>
    </row>
    <row r="74" ht="15" customHeight="1">
      <c r="A74" t="inlineStr">
        <is>
          <t>A 3057-2023</t>
        </is>
      </c>
      <c r="B74" t="inlineStr">
        <is>
          <t>avverkningsanmälan</t>
        </is>
      </c>
      <c r="C74" t="inlineStr">
        <is>
          <t>Föryngringsavverkning</t>
        </is>
      </c>
      <c r="D74" s="1" t="n">
        <v>44946</v>
      </c>
      <c r="E74" s="1" t="n">
        <v>46322</v>
      </c>
      <c r="F74" t="inlineStr">
        <is>
          <t>VÄSTRA GÖTALANDS LÄN</t>
        </is>
      </c>
      <c r="G74" t="inlineStr">
        <is>
          <t>VÅRGÅRDA</t>
        </is>
      </c>
      <c r="I74" t="n">
        <v>1.3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s="2" t="inlineStr"/>
    </row>
    <row r="75" ht="15" customHeight="1">
      <c r="A75" t="inlineStr">
        <is>
          <t>A 20475-2023</t>
        </is>
      </c>
      <c r="B75" t="inlineStr">
        <is>
          <t>avverkningsanmälan</t>
        </is>
      </c>
      <c r="C75" t="inlineStr">
        <is>
          <t>Föryngringsavverkning</t>
        </is>
      </c>
      <c r="D75" s="1" t="n">
        <v>45057</v>
      </c>
      <c r="E75" s="1" t="n">
        <v>46322</v>
      </c>
      <c r="F75" t="inlineStr">
        <is>
          <t>VÄSTRA GÖTALANDS LÄN</t>
        </is>
      </c>
      <c r="G75" t="inlineStr">
        <is>
          <t>VÅRGÅRDA</t>
        </is>
      </c>
      <c r="I75" t="n">
        <v>3.1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s="2" t="inlineStr"/>
    </row>
    <row r="76" ht="15" customHeight="1">
      <c r="A76" t="inlineStr">
        <is>
          <t>A 48080-2025</t>
        </is>
      </c>
      <c r="B76" t="inlineStr">
        <is>
          <t>avverkningsanmälan</t>
        </is>
      </c>
      <c r="C76" t="inlineStr">
        <is>
          <t>Föryngringsavverkning</t>
        </is>
      </c>
      <c r="D76" s="1" t="n">
        <v>45932</v>
      </c>
      <c r="E76" s="1" t="n">
        <v>46322</v>
      </c>
      <c r="F76" t="inlineStr">
        <is>
          <t>VÄSTRA GÖTALANDS LÄN</t>
        </is>
      </c>
      <c r="G76" t="inlineStr">
        <is>
          <t>VÅRGÅRDA</t>
        </is>
      </c>
      <c r="I76" t="n">
        <v>1.4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s="2" t="inlineStr"/>
    </row>
    <row r="77" ht="15" customHeight="1">
      <c r="A77" t="inlineStr">
        <is>
          <t>A 48081-2025</t>
        </is>
      </c>
      <c r="B77" t="inlineStr">
        <is>
          <t>avverkningsanmälan</t>
        </is>
      </c>
      <c r="C77" t="inlineStr">
        <is>
          <t>Föryngringsavverkning</t>
        </is>
      </c>
      <c r="D77" s="1" t="n">
        <v>45932</v>
      </c>
      <c r="E77" s="1" t="n">
        <v>46322</v>
      </c>
      <c r="F77" t="inlineStr">
        <is>
          <t>VÄSTRA GÖTALANDS LÄN</t>
        </is>
      </c>
      <c r="G77" t="inlineStr">
        <is>
          <t>VÅRGÅRDA</t>
        </is>
      </c>
      <c r="I77" t="n">
        <v>1.7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s="2" t="inlineStr"/>
    </row>
    <row r="78" ht="15" customHeight="1">
      <c r="A78" t="inlineStr">
        <is>
          <t>A 12990-2024</t>
        </is>
      </c>
      <c r="B78" t="inlineStr">
        <is>
          <t>avverkningsanmälan</t>
        </is>
      </c>
      <c r="C78" t="inlineStr">
        <is>
          <t>Föryngringsavverkning</t>
        </is>
      </c>
      <c r="D78" s="1" t="n">
        <v>45385</v>
      </c>
      <c r="E78" s="1" t="n">
        <v>46322</v>
      </c>
      <c r="F78" t="inlineStr">
        <is>
          <t>VÄSTRA GÖTALANDS LÄN</t>
        </is>
      </c>
      <c r="G78" t="inlineStr">
        <is>
          <t>VÅRGÅRDA</t>
        </is>
      </c>
      <c r="I78" t="n">
        <v>0.3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s="2" t="inlineStr"/>
    </row>
    <row r="79" ht="15" customHeight="1">
      <c r="A79" t="inlineStr">
        <is>
          <t>A 49431-2025</t>
        </is>
      </c>
      <c r="B79" t="inlineStr">
        <is>
          <t>avverkningsanmälan</t>
        </is>
      </c>
      <c r="C79" t="inlineStr">
        <is>
          <t>Föryngringsavverkning</t>
        </is>
      </c>
      <c r="D79" s="1" t="n">
        <v>45938</v>
      </c>
      <c r="E79" s="1" t="n">
        <v>46322</v>
      </c>
      <c r="F79" t="inlineStr">
        <is>
          <t>VÄSTRA GÖTALANDS LÄN</t>
        </is>
      </c>
      <c r="G79" t="inlineStr">
        <is>
          <t>VÅRGÅRDA</t>
        </is>
      </c>
      <c r="I79" t="n">
        <v>1.6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s="2" t="inlineStr"/>
    </row>
    <row r="80" ht="15" customHeight="1">
      <c r="A80" t="inlineStr">
        <is>
          <t>A 57167-2022</t>
        </is>
      </c>
      <c r="B80" t="inlineStr">
        <is>
          <t>avverkningsanmälan</t>
        </is>
      </c>
      <c r="C80" t="inlineStr">
        <is>
          <t>Föryngringsavverkning</t>
        </is>
      </c>
      <c r="D80" s="1" t="n">
        <v>44895</v>
      </c>
      <c r="E80" s="1" t="n">
        <v>46322</v>
      </c>
      <c r="F80" t="inlineStr">
        <is>
          <t>VÄSTRA GÖTALANDS LÄN</t>
        </is>
      </c>
      <c r="G80" t="inlineStr">
        <is>
          <t>VÅRGÅRDA</t>
        </is>
      </c>
      <c r="I80" t="n">
        <v>0.6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s="2" t="inlineStr"/>
    </row>
    <row r="81" ht="15" customHeight="1">
      <c r="A81" t="inlineStr">
        <is>
          <t>A 9090-2024</t>
        </is>
      </c>
      <c r="B81" t="inlineStr">
        <is>
          <t>avverkningsanmälan</t>
        </is>
      </c>
      <c r="C81" t="inlineStr">
        <is>
          <t>Föryngringsavverkning</t>
        </is>
      </c>
      <c r="D81" s="1" t="n">
        <v>45357</v>
      </c>
      <c r="E81" s="1" t="n">
        <v>46322</v>
      </c>
      <c r="F81" t="inlineStr">
        <is>
          <t>VÄSTRA GÖTALANDS LÄN</t>
        </is>
      </c>
      <c r="G81" t="inlineStr">
        <is>
          <t>VÅRGÅRDA</t>
        </is>
      </c>
      <c r="I81" t="n">
        <v>0.6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s="2" t="inlineStr"/>
    </row>
    <row r="82" ht="15" customHeight="1">
      <c r="A82" t="inlineStr">
        <is>
          <t>A 54991-2024</t>
        </is>
      </c>
      <c r="B82" t="inlineStr">
        <is>
          <t>avverkningsanmälan</t>
        </is>
      </c>
      <c r="C82" t="inlineStr">
        <is>
          <t>Föryngringsavverkning</t>
        </is>
      </c>
      <c r="D82" s="1" t="n">
        <v>45620</v>
      </c>
      <c r="E82" s="1" t="n">
        <v>46322</v>
      </c>
      <c r="F82" t="inlineStr">
        <is>
          <t>VÄSTRA GÖTALANDS LÄN</t>
        </is>
      </c>
      <c r="G82" t="inlineStr">
        <is>
          <t>VÅRGÅRDA</t>
        </is>
      </c>
      <c r="I82" t="n">
        <v>2.6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s="2" t="inlineStr"/>
    </row>
    <row r="83" ht="15" customHeight="1">
      <c r="A83" t="inlineStr">
        <is>
          <t>A 55972-2023</t>
        </is>
      </c>
      <c r="B83" t="inlineStr">
        <is>
          <t>avverkningsanmälan</t>
        </is>
      </c>
      <c r="C83" t="inlineStr">
        <is>
          <t>Föryngringsavverkning</t>
        </is>
      </c>
      <c r="D83" s="1" t="n">
        <v>45233</v>
      </c>
      <c r="E83" s="1" t="n">
        <v>46322</v>
      </c>
      <c r="F83" t="inlineStr">
        <is>
          <t>VÄSTRA GÖTALANDS LÄN</t>
        </is>
      </c>
      <c r="G83" t="inlineStr">
        <is>
          <t>VÅRGÅRDA</t>
        </is>
      </c>
      <c r="I83" t="n">
        <v>4.5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s="2" t="inlineStr"/>
    </row>
    <row r="84" ht="15" customHeight="1">
      <c r="A84" t="inlineStr">
        <is>
          <t>A 51167-2025</t>
        </is>
      </c>
      <c r="B84" t="inlineStr">
        <is>
          <t>avverkningsanmälan</t>
        </is>
      </c>
      <c r="C84" t="inlineStr">
        <is>
          <t>Föryngringsavverkning</t>
        </is>
      </c>
      <c r="D84" s="1" t="n">
        <v>45947</v>
      </c>
      <c r="E84" s="1" t="n">
        <v>46322</v>
      </c>
      <c r="F84" t="inlineStr">
        <is>
          <t>VÄSTRA GÖTALANDS LÄN</t>
        </is>
      </c>
      <c r="G84" t="inlineStr">
        <is>
          <t>VÅRGÅRDA</t>
        </is>
      </c>
      <c r="I84" t="n">
        <v>2.7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s="2" t="inlineStr"/>
    </row>
    <row r="85" ht="15" customHeight="1">
      <c r="A85" t="inlineStr">
        <is>
          <t>A 38046-2022</t>
        </is>
      </c>
      <c r="B85" t="inlineStr">
        <is>
          <t>avverkningsanmälan</t>
        </is>
      </c>
      <c r="C85" t="inlineStr">
        <is>
          <t>Föryngringsavverkning</t>
        </is>
      </c>
      <c r="D85" s="1" t="n">
        <v>44811</v>
      </c>
      <c r="E85" s="1" t="n">
        <v>46322</v>
      </c>
      <c r="F85" t="inlineStr">
        <is>
          <t>VÄSTRA GÖTALANDS LÄN</t>
        </is>
      </c>
      <c r="G85" t="inlineStr">
        <is>
          <t>VÅRGÅRDA</t>
        </is>
      </c>
      <c r="I85" t="n">
        <v>2.2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s="2" t="inlineStr"/>
    </row>
    <row r="86" ht="15" customHeight="1">
      <c r="A86" t="inlineStr">
        <is>
          <t>A 9898-2024</t>
        </is>
      </c>
      <c r="B86" t="inlineStr">
        <is>
          <t>avverkningsanmälan</t>
        </is>
      </c>
      <c r="C86" t="inlineStr">
        <is>
          <t>Föryngringsavverkning</t>
        </is>
      </c>
      <c r="D86" s="1" t="n">
        <v>45363</v>
      </c>
      <c r="E86" s="1" t="n">
        <v>46322</v>
      </c>
      <c r="F86" t="inlineStr">
        <is>
          <t>VÄSTRA GÖTALANDS LÄN</t>
        </is>
      </c>
      <c r="G86" t="inlineStr">
        <is>
          <t>VÅRGÅRDA</t>
        </is>
      </c>
      <c r="I86" t="n">
        <v>0.4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s="2" t="inlineStr"/>
    </row>
    <row r="87" ht="15" customHeight="1">
      <c r="A87" t="inlineStr">
        <is>
          <t>A 24064-2022</t>
        </is>
      </c>
      <c r="B87" t="inlineStr">
        <is>
          <t>avverkningsanmälan</t>
        </is>
      </c>
      <c r="C87" t="inlineStr">
        <is>
          <t>Föryngringsavverkning</t>
        </is>
      </c>
      <c r="D87" s="1" t="n">
        <v>44725</v>
      </c>
      <c r="E87" s="1" t="n">
        <v>46322</v>
      </c>
      <c r="F87" t="inlineStr">
        <is>
          <t>VÄSTRA GÖTALANDS LÄN</t>
        </is>
      </c>
      <c r="G87" t="inlineStr">
        <is>
          <t>VÅRGÅRDA</t>
        </is>
      </c>
      <c r="I87" t="n">
        <v>0.7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s="2" t="inlineStr"/>
    </row>
    <row r="88" ht="15" customHeight="1">
      <c r="A88" t="inlineStr">
        <is>
          <t>A 46736-2023</t>
        </is>
      </c>
      <c r="B88" t="inlineStr">
        <is>
          <t>avverkningsanmälan</t>
        </is>
      </c>
      <c r="C88" t="inlineStr">
        <is>
          <t>Föryngringsavverkning</t>
        </is>
      </c>
      <c r="D88" s="1" t="n">
        <v>45198</v>
      </c>
      <c r="E88" s="1" t="n">
        <v>46322</v>
      </c>
      <c r="F88" t="inlineStr">
        <is>
          <t>VÄSTRA GÖTALANDS LÄN</t>
        </is>
      </c>
      <c r="G88" t="inlineStr">
        <is>
          <t>VÅRGÅRDA</t>
        </is>
      </c>
      <c r="H88" t="inlineStr">
        <is>
          <t>Kyrkan</t>
        </is>
      </c>
      <c r="I88" t="n">
        <v>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s="2" t="inlineStr"/>
    </row>
    <row r="89" ht="15" customHeight="1">
      <c r="A89" t="inlineStr">
        <is>
          <t>A 30362-2024</t>
        </is>
      </c>
      <c r="B89" t="inlineStr">
        <is>
          <t>avverkningsanmälan</t>
        </is>
      </c>
      <c r="C89" t="inlineStr">
        <is>
          <t>Föryngringsavverkning</t>
        </is>
      </c>
      <c r="D89" s="1" t="n">
        <v>45491</v>
      </c>
      <c r="E89" s="1" t="n">
        <v>46322</v>
      </c>
      <c r="F89" t="inlineStr">
        <is>
          <t>VÄSTRA GÖTALANDS LÄN</t>
        </is>
      </c>
      <c r="G89" t="inlineStr">
        <is>
          <t>VÅRGÅRDA</t>
        </is>
      </c>
      <c r="I89" t="n">
        <v>2.5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s="2" t="inlineStr"/>
    </row>
    <row r="90" ht="15" customHeight="1">
      <c r="A90" t="inlineStr">
        <is>
          <t>A 46732-2023</t>
        </is>
      </c>
      <c r="B90" t="inlineStr">
        <is>
          <t>avverkningsanmälan</t>
        </is>
      </c>
      <c r="C90" t="inlineStr">
        <is>
          <t>Föryngringsavverkning</t>
        </is>
      </c>
      <c r="D90" s="1" t="n">
        <v>45198</v>
      </c>
      <c r="E90" s="1" t="n">
        <v>46322</v>
      </c>
      <c r="F90" t="inlineStr">
        <is>
          <t>VÄSTRA GÖTALANDS LÄN</t>
        </is>
      </c>
      <c r="G90" t="inlineStr">
        <is>
          <t>VÅRGÅRDA</t>
        </is>
      </c>
      <c r="H90" t="inlineStr">
        <is>
          <t>Kyrkan</t>
        </is>
      </c>
      <c r="I90" t="n">
        <v>1.8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s="2" t="inlineStr"/>
    </row>
    <row r="91" ht="15" customHeight="1">
      <c r="A91" t="inlineStr">
        <is>
          <t>A 21535-2025</t>
        </is>
      </c>
      <c r="B91" t="inlineStr">
        <is>
          <t>avverkningsanmälan</t>
        </is>
      </c>
      <c r="C91" t="inlineStr">
        <is>
          <t>Föryngringsavverkning</t>
        </is>
      </c>
      <c r="D91" s="1" t="n">
        <v>45782</v>
      </c>
      <c r="E91" s="1" t="n">
        <v>46322</v>
      </c>
      <c r="F91" t="inlineStr">
        <is>
          <t>VÄSTRA GÖTALANDS LÄN</t>
        </is>
      </c>
      <c r="G91" t="inlineStr">
        <is>
          <t>VÅRGÅRDA</t>
        </is>
      </c>
      <c r="I91" t="n">
        <v>3.6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s="2" t="inlineStr"/>
    </row>
    <row r="92" ht="15" customHeight="1">
      <c r="A92" t="inlineStr">
        <is>
          <t>A 11777-2024</t>
        </is>
      </c>
      <c r="B92" t="inlineStr">
        <is>
          <t>avverkningsanmälan</t>
        </is>
      </c>
      <c r="C92" t="inlineStr">
        <is>
          <t>Föryngringsavverkning</t>
        </is>
      </c>
      <c r="D92" s="1" t="n">
        <v>45374</v>
      </c>
      <c r="E92" s="1" t="n">
        <v>46322</v>
      </c>
      <c r="F92" t="inlineStr">
        <is>
          <t>VÄSTRA GÖTALANDS LÄN</t>
        </is>
      </c>
      <c r="G92" t="inlineStr">
        <is>
          <t>VÅRGÅRDA</t>
        </is>
      </c>
      <c r="I92" t="n">
        <v>0.7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s="2" t="inlineStr"/>
    </row>
    <row r="93" ht="15" customHeight="1">
      <c r="A93" t="inlineStr">
        <is>
          <t>A 11792-2024</t>
        </is>
      </c>
      <c r="B93" t="inlineStr">
        <is>
          <t>avverkningsanmälan</t>
        </is>
      </c>
      <c r="C93" t="inlineStr">
        <is>
          <t>Föryngringsavverkning</t>
        </is>
      </c>
      <c r="D93" s="1" t="n">
        <v>45375</v>
      </c>
      <c r="E93" s="1" t="n">
        <v>46322</v>
      </c>
      <c r="F93" t="inlineStr">
        <is>
          <t>VÄSTRA GÖTALANDS LÄN</t>
        </is>
      </c>
      <c r="G93" t="inlineStr">
        <is>
          <t>VÅRGÅRDA</t>
        </is>
      </c>
      <c r="I93" t="n">
        <v>0.8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s="2" t="inlineStr"/>
    </row>
    <row r="94" ht="15" customHeight="1">
      <c r="A94" t="inlineStr">
        <is>
          <t>A 55189-2025</t>
        </is>
      </c>
      <c r="B94" t="inlineStr">
        <is>
          <t>avverkningsanmälan</t>
        </is>
      </c>
      <c r="C94" t="inlineStr">
        <is>
          <t>Föryngringsavverkning</t>
        </is>
      </c>
      <c r="D94" s="1" t="n">
        <v>45968</v>
      </c>
      <c r="E94" s="1" t="n">
        <v>46322</v>
      </c>
      <c r="F94" t="inlineStr">
        <is>
          <t>VÄSTRA GÖTALANDS LÄN</t>
        </is>
      </c>
      <c r="G94" t="inlineStr">
        <is>
          <t>VÅRGÅRDA</t>
        </is>
      </c>
      <c r="I94" t="n">
        <v>2.7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s="2" t="inlineStr"/>
    </row>
    <row r="95" ht="15" customHeight="1">
      <c r="A95" t="inlineStr">
        <is>
          <t>A 8195-2024</t>
        </is>
      </c>
      <c r="B95" t="inlineStr">
        <is>
          <t>avverkningsanmälan</t>
        </is>
      </c>
      <c r="C95" t="inlineStr">
        <is>
          <t>Föryngringsavverkning</t>
        </is>
      </c>
      <c r="D95" s="1" t="n">
        <v>45351</v>
      </c>
      <c r="E95" s="1" t="n">
        <v>46322</v>
      </c>
      <c r="F95" t="inlineStr">
        <is>
          <t>VÄSTRA GÖTALANDS LÄN</t>
        </is>
      </c>
      <c r="G95" t="inlineStr">
        <is>
          <t>VÅRGÅRDA</t>
        </is>
      </c>
      <c r="I95" t="n">
        <v>0.8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s="2" t="inlineStr"/>
    </row>
    <row r="96" ht="15" customHeight="1">
      <c r="A96" t="inlineStr">
        <is>
          <t>A 55188-2025</t>
        </is>
      </c>
      <c r="B96" t="inlineStr">
        <is>
          <t>avverkningsanmälan</t>
        </is>
      </c>
      <c r="C96" t="inlineStr">
        <is>
          <t>Föryngringsavverkning</t>
        </is>
      </c>
      <c r="D96" s="1" t="n">
        <v>45968</v>
      </c>
      <c r="E96" s="1" t="n">
        <v>46322</v>
      </c>
      <c r="F96" t="inlineStr">
        <is>
          <t>VÄSTRA GÖTALANDS LÄN</t>
        </is>
      </c>
      <c r="G96" t="inlineStr">
        <is>
          <t>VÅRGÅRDA</t>
        </is>
      </c>
      <c r="I96" t="n">
        <v>2.8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s="2" t="inlineStr"/>
    </row>
    <row r="97" ht="15" customHeight="1">
      <c r="A97" t="inlineStr">
        <is>
          <t>A 55992-2025</t>
        </is>
      </c>
      <c r="B97" t="inlineStr">
        <is>
          <t>avverkningsanmälan</t>
        </is>
      </c>
      <c r="C97" t="inlineStr">
        <is>
          <t>Föryngringsavverkning</t>
        </is>
      </c>
      <c r="D97" s="1" t="n">
        <v>45973</v>
      </c>
      <c r="E97" s="1" t="n">
        <v>46322</v>
      </c>
      <c r="F97" t="inlineStr">
        <is>
          <t>VÄSTRA GÖTALANDS LÄN</t>
        </is>
      </c>
      <c r="G97" t="inlineStr">
        <is>
          <t>VÅRGÅRDA</t>
        </is>
      </c>
      <c r="I97" t="n">
        <v>1.4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s="2" t="inlineStr"/>
    </row>
    <row r="98" ht="15" customHeight="1">
      <c r="A98" t="inlineStr">
        <is>
          <t>A 55706-2025</t>
        </is>
      </c>
      <c r="B98" t="inlineStr">
        <is>
          <t>avverkningsanmälan</t>
        </is>
      </c>
      <c r="C98" t="inlineStr">
        <is>
          <t>Föryngringsavverkning</t>
        </is>
      </c>
      <c r="D98" s="1" t="n">
        <v>45972</v>
      </c>
      <c r="E98" s="1" t="n">
        <v>46322</v>
      </c>
      <c r="F98" t="inlineStr">
        <is>
          <t>VÄSTRA GÖTALANDS LÄN</t>
        </is>
      </c>
      <c r="G98" t="inlineStr">
        <is>
          <t>VÅRGÅRDA</t>
        </is>
      </c>
      <c r="I98" t="n">
        <v>4.1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s="2" t="inlineStr"/>
    </row>
    <row r="99" ht="15" customHeight="1">
      <c r="A99" t="inlineStr">
        <is>
          <t>A 55776-2025</t>
        </is>
      </c>
      <c r="B99" t="inlineStr">
        <is>
          <t>avverkningsanmälan</t>
        </is>
      </c>
      <c r="C99" t="inlineStr">
        <is>
          <t>Föryngringsavverkning</t>
        </is>
      </c>
      <c r="D99" s="1" t="n">
        <v>45972</v>
      </c>
      <c r="E99" s="1" t="n">
        <v>46322</v>
      </c>
      <c r="F99" t="inlineStr">
        <is>
          <t>VÄSTRA GÖTALANDS LÄN</t>
        </is>
      </c>
      <c r="G99" t="inlineStr">
        <is>
          <t>VÅRGÅRDA</t>
        </is>
      </c>
      <c r="I99" t="n">
        <v>2.8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s="2" t="inlineStr"/>
    </row>
    <row r="100" ht="15" customHeight="1">
      <c r="A100" t="inlineStr">
        <is>
          <t>A 56381-2025</t>
        </is>
      </c>
      <c r="B100" t="inlineStr">
        <is>
          <t>avverkningsanmälan</t>
        </is>
      </c>
      <c r="C100" t="inlineStr">
        <is>
          <t>Föryngringsavverkning</t>
        </is>
      </c>
      <c r="D100" s="1" t="n">
        <v>45974</v>
      </c>
      <c r="E100" s="1" t="n">
        <v>46322</v>
      </c>
      <c r="F100" t="inlineStr">
        <is>
          <t>VÄSTRA GÖTALANDS LÄN</t>
        </is>
      </c>
      <c r="G100" t="inlineStr">
        <is>
          <t>VÅRGÅRDA</t>
        </is>
      </c>
      <c r="I100" t="n">
        <v>3.5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s="2" t="inlineStr"/>
    </row>
    <row r="101" ht="15" customHeight="1">
      <c r="A101" t="inlineStr">
        <is>
          <t>A 58049-2023</t>
        </is>
      </c>
      <c r="B101" t="inlineStr">
        <is>
          <t>avverkningsanmälan</t>
        </is>
      </c>
      <c r="C101" t="inlineStr">
        <is>
          <t>Föryngringsavverkning</t>
        </is>
      </c>
      <c r="D101" s="1" t="n">
        <v>45247</v>
      </c>
      <c r="E101" s="1" t="n">
        <v>46322</v>
      </c>
      <c r="F101" t="inlineStr">
        <is>
          <t>VÄSTRA GÖTALANDS LÄN</t>
        </is>
      </c>
      <c r="G101" t="inlineStr">
        <is>
          <t>VÅRGÅRDA</t>
        </is>
      </c>
      <c r="I101" t="n">
        <v>2.2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s="2" t="inlineStr"/>
    </row>
    <row r="102" ht="15" customHeight="1">
      <c r="A102" t="inlineStr">
        <is>
          <t>A 9633-2024</t>
        </is>
      </c>
      <c r="B102" t="inlineStr">
        <is>
          <t>avverkningsanmälan</t>
        </is>
      </c>
      <c r="C102" t="inlineStr">
        <is>
          <t>Föryngringsavverkning</t>
        </is>
      </c>
      <c r="D102" s="1" t="n">
        <v>45362</v>
      </c>
      <c r="E102" s="1" t="n">
        <v>46322</v>
      </c>
      <c r="F102" t="inlineStr">
        <is>
          <t>VÄSTRA GÖTALANDS LÄN</t>
        </is>
      </c>
      <c r="G102" t="inlineStr">
        <is>
          <t>VÅRGÅRDA</t>
        </is>
      </c>
      <c r="I102" t="n">
        <v>1.6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s="2" t="inlineStr"/>
    </row>
    <row r="103" ht="15" customHeight="1">
      <c r="A103" t="inlineStr">
        <is>
          <t>A 58444-2025</t>
        </is>
      </c>
      <c r="B103" t="inlineStr">
        <is>
          <t>avverkningsanmälan</t>
        </is>
      </c>
      <c r="C103" t="inlineStr">
        <is>
          <t>Föryngringsavverkning</t>
        </is>
      </c>
      <c r="D103" s="1" t="n">
        <v>45985</v>
      </c>
      <c r="E103" s="1" t="n">
        <v>46322</v>
      </c>
      <c r="F103" t="inlineStr">
        <is>
          <t>VÄSTRA GÖTALANDS LÄN</t>
        </is>
      </c>
      <c r="G103" t="inlineStr">
        <is>
          <t>VÅRGÅRDA</t>
        </is>
      </c>
      <c r="I103" t="n">
        <v>1.3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s="2" t="inlineStr"/>
    </row>
    <row r="104" ht="15" customHeight="1">
      <c r="A104" t="inlineStr">
        <is>
          <t>A 58398-2025</t>
        </is>
      </c>
      <c r="B104" t="inlineStr">
        <is>
          <t>avverkningsanmälan</t>
        </is>
      </c>
      <c r="C104" t="inlineStr">
        <is>
          <t>Föryngringsavverkning</t>
        </is>
      </c>
      <c r="D104" s="1" t="n">
        <v>45985</v>
      </c>
      <c r="E104" s="1" t="n">
        <v>46322</v>
      </c>
      <c r="F104" t="inlineStr">
        <is>
          <t>VÄSTRA GÖTALANDS LÄN</t>
        </is>
      </c>
      <c r="G104" t="inlineStr">
        <is>
          <t>VÅRGÅRDA</t>
        </is>
      </c>
      <c r="I104" t="n">
        <v>2.7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s="2" t="inlineStr"/>
    </row>
    <row r="105" ht="15" customHeight="1">
      <c r="A105" t="inlineStr">
        <is>
          <t>A 58443-2025</t>
        </is>
      </c>
      <c r="B105" t="inlineStr">
        <is>
          <t>avverkningsanmälan</t>
        </is>
      </c>
      <c r="C105" t="inlineStr">
        <is>
          <t>Föryngringsavverkning</t>
        </is>
      </c>
      <c r="D105" s="1" t="n">
        <v>45985</v>
      </c>
      <c r="E105" s="1" t="n">
        <v>46322</v>
      </c>
      <c r="F105" t="inlineStr">
        <is>
          <t>VÄSTRA GÖTALANDS LÄN</t>
        </is>
      </c>
      <c r="G105" t="inlineStr">
        <is>
          <t>VÅRGÅRDA</t>
        </is>
      </c>
      <c r="I105" t="n">
        <v>2.9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s="2" t="inlineStr"/>
    </row>
    <row r="106" ht="15" customHeight="1">
      <c r="A106" t="inlineStr">
        <is>
          <t>A 23950-2025</t>
        </is>
      </c>
      <c r="B106" t="inlineStr">
        <is>
          <t>avverkningsanmälan</t>
        </is>
      </c>
      <c r="C106" t="inlineStr">
        <is>
          <t>Föryngringsavverkning</t>
        </is>
      </c>
      <c r="D106" s="1" t="n">
        <v>45796</v>
      </c>
      <c r="E106" s="1" t="n">
        <v>46322</v>
      </c>
      <c r="F106" t="inlineStr">
        <is>
          <t>VÄSTRA GÖTALANDS LÄN</t>
        </is>
      </c>
      <c r="G106" t="inlineStr">
        <is>
          <t>VÅRGÅRDA</t>
        </is>
      </c>
      <c r="I106" t="n">
        <v>0.6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s="2" t="inlineStr"/>
    </row>
    <row r="107" ht="15" customHeight="1">
      <c r="A107" t="inlineStr">
        <is>
          <t>A 21875-2024</t>
        </is>
      </c>
      <c r="B107" t="inlineStr">
        <is>
          <t>avverkningsanmälan</t>
        </is>
      </c>
      <c r="C107" t="inlineStr">
        <is>
          <t>Föryngringsavverkning</t>
        </is>
      </c>
      <c r="D107" s="1" t="n">
        <v>45443</v>
      </c>
      <c r="E107" s="1" t="n">
        <v>46322</v>
      </c>
      <c r="F107" t="inlineStr">
        <is>
          <t>VÄSTRA GÖTALANDS LÄN</t>
        </is>
      </c>
      <c r="G107" t="inlineStr">
        <is>
          <t>VÅRGÅRDA</t>
        </is>
      </c>
      <c r="I107" t="n">
        <v>0.5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s="2" t="inlineStr"/>
    </row>
    <row r="108" ht="15" customHeight="1">
      <c r="A108" t="inlineStr">
        <is>
          <t>A 59309-2025</t>
        </is>
      </c>
      <c r="B108" t="inlineStr">
        <is>
          <t>avverkningsanmälan</t>
        </is>
      </c>
      <c r="C108" t="inlineStr">
        <is>
          <t>Föryngringsavverkning</t>
        </is>
      </c>
      <c r="D108" s="1" t="n">
        <v>45989</v>
      </c>
      <c r="E108" s="1" t="n">
        <v>46322</v>
      </c>
      <c r="F108" t="inlineStr">
        <is>
          <t>VÄSTRA GÖTALANDS LÄN</t>
        </is>
      </c>
      <c r="G108" t="inlineStr">
        <is>
          <t>VÅRGÅRDA</t>
        </is>
      </c>
      <c r="I108" t="n">
        <v>4.1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s="2" t="inlineStr"/>
    </row>
    <row r="109" ht="15" customHeight="1">
      <c r="A109" t="inlineStr">
        <is>
          <t>A 59156-2025</t>
        </is>
      </c>
      <c r="B109" t="inlineStr">
        <is>
          <t>avverkningsanmälan</t>
        </is>
      </c>
      <c r="C109" t="inlineStr">
        <is>
          <t>Föryngringsavverkning</t>
        </is>
      </c>
      <c r="D109" s="1" t="n">
        <v>45988</v>
      </c>
      <c r="E109" s="1" t="n">
        <v>46322</v>
      </c>
      <c r="F109" t="inlineStr">
        <is>
          <t>VÄSTRA GÖTALANDS LÄN</t>
        </is>
      </c>
      <c r="G109" t="inlineStr">
        <is>
          <t>VÅRGÅRDA</t>
        </is>
      </c>
      <c r="I109" t="n">
        <v>3.9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s="2" t="inlineStr"/>
    </row>
    <row r="110" ht="15" customHeight="1">
      <c r="A110" t="inlineStr">
        <is>
          <t>A 59317-2025</t>
        </is>
      </c>
      <c r="B110" t="inlineStr">
        <is>
          <t>avverkningsanmälan</t>
        </is>
      </c>
      <c r="C110" t="inlineStr">
        <is>
          <t>Föryngringsavverkning</t>
        </is>
      </c>
      <c r="D110" s="1" t="n">
        <v>45989</v>
      </c>
      <c r="E110" s="1" t="n">
        <v>46322</v>
      </c>
      <c r="F110" t="inlineStr">
        <is>
          <t>VÄSTRA GÖTALANDS LÄN</t>
        </is>
      </c>
      <c r="G110" t="inlineStr">
        <is>
          <t>VÅRGÅRDA</t>
        </is>
      </c>
      <c r="I110" t="n">
        <v>0.7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s="2" t="inlineStr"/>
    </row>
    <row r="111" ht="15" customHeight="1">
      <c r="A111" t="inlineStr">
        <is>
          <t>A 59042-2025</t>
        </is>
      </c>
      <c r="B111" t="inlineStr">
        <is>
          <t>avverkningsanmälan</t>
        </is>
      </c>
      <c r="C111" t="inlineStr">
        <is>
          <t>Föryngringsavverkning</t>
        </is>
      </c>
      <c r="D111" s="1" t="n">
        <v>45988</v>
      </c>
      <c r="E111" s="1" t="n">
        <v>46322</v>
      </c>
      <c r="F111" t="inlineStr">
        <is>
          <t>VÄSTRA GÖTALANDS LÄN</t>
        </is>
      </c>
      <c r="G111" t="inlineStr">
        <is>
          <t>VÅRGÅRDA</t>
        </is>
      </c>
      <c r="I111" t="n">
        <v>0.5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s="2" t="inlineStr"/>
    </row>
    <row r="112" ht="15" customHeight="1">
      <c r="A112" t="inlineStr">
        <is>
          <t>A 29612-2026</t>
        </is>
      </c>
      <c r="B112" t="inlineStr">
        <is>
          <t>avverkningsanmälan</t>
        </is>
      </c>
      <c r="C112" t="inlineStr">
        <is>
          <t>Avverkning för annat ändamål</t>
        </is>
      </c>
      <c r="D112" s="1" t="n">
        <v>46199</v>
      </c>
      <c r="E112" s="1" t="n">
        <v>46322</v>
      </c>
      <c r="F112" t="inlineStr">
        <is>
          <t>VÄSTRA GÖTALANDS LÄN</t>
        </is>
      </c>
      <c r="G112" t="inlineStr">
        <is>
          <t>VÅRGÅRDA</t>
        </is>
      </c>
      <c r="I112" t="n">
        <v>1.7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s="2" t="inlineStr"/>
    </row>
    <row r="113" ht="15" customHeight="1">
      <c r="A113" t="inlineStr">
        <is>
          <t>A 45309-2024</t>
        </is>
      </c>
      <c r="B113" t="inlineStr">
        <is>
          <t>avverkningsanmälan</t>
        </is>
      </c>
      <c r="C113" t="inlineStr">
        <is>
          <t>Föryngringsavverkning</t>
        </is>
      </c>
      <c r="D113" s="1" t="n">
        <v>45576</v>
      </c>
      <c r="E113" s="1" t="n">
        <v>46322</v>
      </c>
      <c r="F113" t="inlineStr">
        <is>
          <t>VÄSTRA GÖTALANDS LÄN</t>
        </is>
      </c>
      <c r="G113" t="inlineStr">
        <is>
          <t>VÅRGÅRDA</t>
        </is>
      </c>
      <c r="I113" t="n">
        <v>1.8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s="2" t="inlineStr"/>
    </row>
    <row r="114" ht="15" customHeight="1">
      <c r="A114" t="inlineStr">
        <is>
          <t>A 2051-2026</t>
        </is>
      </c>
      <c r="B114" t="inlineStr">
        <is>
          <t>avverkningsanmälan</t>
        </is>
      </c>
      <c r="C114" t="inlineStr">
        <is>
          <t>Föryngringsavverkning</t>
        </is>
      </c>
      <c r="D114" s="1" t="n">
        <v>46031</v>
      </c>
      <c r="E114" s="1" t="n">
        <v>46322</v>
      </c>
      <c r="F114" t="inlineStr">
        <is>
          <t>VÄSTRA GÖTALANDS LÄN</t>
        </is>
      </c>
      <c r="G114" t="inlineStr">
        <is>
          <t>VÅRGÅRDA</t>
        </is>
      </c>
      <c r="H114" t="inlineStr">
        <is>
          <t>Övriga statliga verk och myndigheter</t>
        </is>
      </c>
      <c r="I114" t="n">
        <v>3.8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s="2" t="inlineStr"/>
    </row>
    <row r="115" ht="15" customHeight="1">
      <c r="A115" t="inlineStr">
        <is>
          <t>A 2052-2026</t>
        </is>
      </c>
      <c r="B115" t="inlineStr">
        <is>
          <t>avverkningsanmälan</t>
        </is>
      </c>
      <c r="C115" t="inlineStr">
        <is>
          <t>Föryngringsavverkning</t>
        </is>
      </c>
      <c r="D115" s="1" t="n">
        <v>46031</v>
      </c>
      <c r="E115" s="1" t="n">
        <v>46322</v>
      </c>
      <c r="F115" t="inlineStr">
        <is>
          <t>VÄSTRA GÖTALANDS LÄN</t>
        </is>
      </c>
      <c r="G115" t="inlineStr">
        <is>
          <t>VÅRGÅRDA</t>
        </is>
      </c>
      <c r="H115" t="inlineStr">
        <is>
          <t>Övriga statliga verk och myndigheter</t>
        </is>
      </c>
      <c r="I115" t="n">
        <v>8.5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s="2" t="inlineStr"/>
    </row>
    <row r="116" ht="15" customHeight="1">
      <c r="A116" t="inlineStr">
        <is>
          <t>A 15236-2024</t>
        </is>
      </c>
      <c r="B116" t="inlineStr">
        <is>
          <t>avverkningsanmälan</t>
        </is>
      </c>
      <c r="C116" t="inlineStr">
        <is>
          <t>Föryngringsavverkning</t>
        </is>
      </c>
      <c r="D116" s="1" t="n">
        <v>45400</v>
      </c>
      <c r="E116" s="1" t="n">
        <v>46322</v>
      </c>
      <c r="F116" t="inlineStr">
        <is>
          <t>VÄSTRA GÖTALANDS LÄN</t>
        </is>
      </c>
      <c r="G116" t="inlineStr">
        <is>
          <t>VÅRGÅRDA</t>
        </is>
      </c>
      <c r="I116" t="n">
        <v>1.1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s="2" t="inlineStr"/>
    </row>
    <row r="117" ht="15" customHeight="1">
      <c r="A117" t="inlineStr">
        <is>
          <t>A 60975-2025</t>
        </is>
      </c>
      <c r="B117" t="inlineStr">
        <is>
          <t>avverkningsanmälan</t>
        </is>
      </c>
      <c r="C117" t="inlineStr">
        <is>
          <t>Föryngringsavverkning</t>
        </is>
      </c>
      <c r="D117" s="1" t="n">
        <v>45999</v>
      </c>
      <c r="E117" s="1" t="n">
        <v>46322</v>
      </c>
      <c r="F117" t="inlineStr">
        <is>
          <t>VÄSTRA GÖTALANDS LÄN</t>
        </is>
      </c>
      <c r="G117" t="inlineStr">
        <is>
          <t>VÅRGÅRDA</t>
        </is>
      </c>
      <c r="I117" t="n">
        <v>1.4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s="2" t="inlineStr"/>
    </row>
    <row r="118" ht="15" customHeight="1">
      <c r="A118" t="inlineStr">
        <is>
          <t>A 25324-2025</t>
        </is>
      </c>
      <c r="B118" t="inlineStr">
        <is>
          <t>avverkningsanmälan</t>
        </is>
      </c>
      <c r="C118" t="inlineStr">
        <is>
          <t>Avverkning för annat ändamål</t>
        </is>
      </c>
      <c r="D118" s="1" t="n">
        <v>45800</v>
      </c>
      <c r="E118" s="1" t="n">
        <v>46322</v>
      </c>
      <c r="F118" t="inlineStr">
        <is>
          <t>VÄSTRA GÖTALANDS LÄN</t>
        </is>
      </c>
      <c r="G118" t="inlineStr">
        <is>
          <t>VÅRGÅRDA</t>
        </is>
      </c>
      <c r="I118" t="n">
        <v>1.8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s="2" t="inlineStr"/>
    </row>
    <row r="119" ht="15" customHeight="1">
      <c r="A119" t="inlineStr">
        <is>
          <t>A 5448-2025</t>
        </is>
      </c>
      <c r="B119" t="inlineStr">
        <is>
          <t>avverkningsanmälan</t>
        </is>
      </c>
      <c r="C119" t="inlineStr">
        <is>
          <t>Föryngringsavverkning</t>
        </is>
      </c>
      <c r="D119" s="1" t="n">
        <v>45692</v>
      </c>
      <c r="E119" s="1" t="n">
        <v>46322</v>
      </c>
      <c r="F119" t="inlineStr">
        <is>
          <t>VÄSTRA GÖTALANDS LÄN</t>
        </is>
      </c>
      <c r="G119" t="inlineStr">
        <is>
          <t>VÅRGÅRDA</t>
        </is>
      </c>
      <c r="I119" t="n">
        <v>1.1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s="2" t="inlineStr"/>
    </row>
    <row r="120" ht="15" customHeight="1">
      <c r="A120" t="inlineStr">
        <is>
          <t>A 25326-2025</t>
        </is>
      </c>
      <c r="B120" t="inlineStr">
        <is>
          <t>avverkningsanmälan</t>
        </is>
      </c>
      <c r="C120" t="inlineStr">
        <is>
          <t>Avverkning för annat ändamål</t>
        </is>
      </c>
      <c r="D120" s="1" t="n">
        <v>45800</v>
      </c>
      <c r="E120" s="1" t="n">
        <v>46322</v>
      </c>
      <c r="F120" t="inlineStr">
        <is>
          <t>VÄSTRA GÖTALANDS LÄN</t>
        </is>
      </c>
      <c r="G120" t="inlineStr">
        <is>
          <t>VÅRGÅRDA</t>
        </is>
      </c>
      <c r="I120" t="n">
        <v>0.9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s="2" t="inlineStr"/>
    </row>
    <row r="121" ht="15" customHeight="1">
      <c r="A121" t="inlineStr">
        <is>
          <t>A 60973-2025</t>
        </is>
      </c>
      <c r="B121" t="inlineStr">
        <is>
          <t>avverkningsanmälan</t>
        </is>
      </c>
      <c r="C121" t="inlineStr">
        <is>
          <t>Föryngringsavverkning</t>
        </is>
      </c>
      <c r="D121" s="1" t="n">
        <v>45999</v>
      </c>
      <c r="E121" s="1" t="n">
        <v>46322</v>
      </c>
      <c r="F121" t="inlineStr">
        <is>
          <t>VÄSTRA GÖTALANDS LÄN</t>
        </is>
      </c>
      <c r="G121" t="inlineStr">
        <is>
          <t>VÅRGÅRDA</t>
        </is>
      </c>
      <c r="I121" t="n">
        <v>1.1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s="2" t="inlineStr"/>
    </row>
    <row r="122" ht="15" customHeight="1">
      <c r="A122" t="inlineStr">
        <is>
          <t>A 25906-2025</t>
        </is>
      </c>
      <c r="B122" t="inlineStr">
        <is>
          <t>avverkningsanmälan</t>
        </is>
      </c>
      <c r="C122" t="inlineStr">
        <is>
          <t>Föryngringsavverkning</t>
        </is>
      </c>
      <c r="D122" s="1" t="n">
        <v>45804</v>
      </c>
      <c r="E122" s="1" t="n">
        <v>46322</v>
      </c>
      <c r="F122" t="inlineStr">
        <is>
          <t>VÄSTRA GÖTALANDS LÄN</t>
        </is>
      </c>
      <c r="G122" t="inlineStr">
        <is>
          <t>VÅRGÅRDA</t>
        </is>
      </c>
      <c r="I122" t="n">
        <v>0.6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s="2" t="inlineStr"/>
    </row>
    <row r="123" ht="15" customHeight="1">
      <c r="A123" t="inlineStr">
        <is>
          <t>A 25909-2025</t>
        </is>
      </c>
      <c r="B123" t="inlineStr">
        <is>
          <t>avverkningsanmälan</t>
        </is>
      </c>
      <c r="C123" t="inlineStr">
        <is>
          <t>Föryngringsavverkning</t>
        </is>
      </c>
      <c r="D123" s="1" t="n">
        <v>45804</v>
      </c>
      <c r="E123" s="1" t="n">
        <v>46322</v>
      </c>
      <c r="F123" t="inlineStr">
        <is>
          <t>VÄSTRA GÖTALANDS LÄN</t>
        </is>
      </c>
      <c r="G123" t="inlineStr">
        <is>
          <t>VÅRGÅRDA</t>
        </is>
      </c>
      <c r="I123" t="n">
        <v>0.5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s="2" t="inlineStr"/>
    </row>
    <row r="124" ht="15" customHeight="1">
      <c r="A124" t="inlineStr">
        <is>
          <t>A 25911-2025</t>
        </is>
      </c>
      <c r="B124" t="inlineStr">
        <is>
          <t>avverkningsanmälan</t>
        </is>
      </c>
      <c r="C124" t="inlineStr">
        <is>
          <t>Föryngringsavverkning</t>
        </is>
      </c>
      <c r="D124" s="1" t="n">
        <v>45804</v>
      </c>
      <c r="E124" s="1" t="n">
        <v>46322</v>
      </c>
      <c r="F124" t="inlineStr">
        <is>
          <t>VÄSTRA GÖTALANDS LÄN</t>
        </is>
      </c>
      <c r="G124" t="inlineStr">
        <is>
          <t>VÅRGÅRDA</t>
        </is>
      </c>
      <c r="I124" t="n">
        <v>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s="2" t="inlineStr"/>
    </row>
    <row r="125" ht="15" customHeight="1">
      <c r="A125" t="inlineStr">
        <is>
          <t>A 59325-2023</t>
        </is>
      </c>
      <c r="B125" t="inlineStr">
        <is>
          <t>avverkningsanmälan</t>
        </is>
      </c>
      <c r="C125" t="inlineStr">
        <is>
          <t>Avverkning för annat ändamål</t>
        </is>
      </c>
      <c r="D125" s="1" t="n">
        <v>45253</v>
      </c>
      <c r="E125" s="1" t="n">
        <v>46322</v>
      </c>
      <c r="F125" t="inlineStr">
        <is>
          <t>VÄSTRA GÖTALANDS LÄN</t>
        </is>
      </c>
      <c r="G125" t="inlineStr">
        <is>
          <t>VÅRGÅRDA</t>
        </is>
      </c>
      <c r="I125" t="n">
        <v>3.7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s="2" t="inlineStr"/>
    </row>
    <row r="126" ht="15" customHeight="1">
      <c r="A126" t="inlineStr">
        <is>
          <t>A 27109-2025</t>
        </is>
      </c>
      <c r="B126" t="inlineStr">
        <is>
          <t>avverkningsanmälan</t>
        </is>
      </c>
      <c r="C126" t="inlineStr">
        <is>
          <t>Föryngringsavverkning</t>
        </is>
      </c>
      <c r="D126" s="1" t="n">
        <v>45811</v>
      </c>
      <c r="E126" s="1" t="n">
        <v>46322</v>
      </c>
      <c r="F126" t="inlineStr">
        <is>
          <t>VÄSTRA GÖTALANDS LÄN</t>
        </is>
      </c>
      <c r="G126" t="inlineStr">
        <is>
          <t>VÅRGÅRDA</t>
        </is>
      </c>
      <c r="I126" t="n">
        <v>0.7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s="2" t="inlineStr"/>
    </row>
    <row r="127" ht="15" customHeight="1">
      <c r="A127" t="inlineStr">
        <is>
          <t>A 27110-2025</t>
        </is>
      </c>
      <c r="B127" t="inlineStr">
        <is>
          <t>avverkningsanmälan</t>
        </is>
      </c>
      <c r="C127" t="inlineStr">
        <is>
          <t>Föryngringsavverkning</t>
        </is>
      </c>
      <c r="D127" s="1" t="n">
        <v>45811</v>
      </c>
      <c r="E127" s="1" t="n">
        <v>46322</v>
      </c>
      <c r="F127" t="inlineStr">
        <is>
          <t>VÄSTRA GÖTALANDS LÄN</t>
        </is>
      </c>
      <c r="G127" t="inlineStr">
        <is>
          <t>VÅRGÅRDA</t>
        </is>
      </c>
      <c r="I127" t="n">
        <v>1.5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s="2" t="inlineStr"/>
    </row>
    <row r="128" ht="15" customHeight="1">
      <c r="A128" t="inlineStr">
        <is>
          <t>A 30280-2023</t>
        </is>
      </c>
      <c r="B128" t="inlineStr">
        <is>
          <t>avverkningsanmälan</t>
        </is>
      </c>
      <c r="C128" t="inlineStr">
        <is>
          <t>Föryngringsavverkning</t>
        </is>
      </c>
      <c r="D128" s="1" t="n">
        <v>45110</v>
      </c>
      <c r="E128" s="1" t="n">
        <v>46322</v>
      </c>
      <c r="F128" t="inlineStr">
        <is>
          <t>VÄSTRA GÖTALANDS LÄN</t>
        </is>
      </c>
      <c r="G128" t="inlineStr">
        <is>
          <t>VÅRGÅRDA</t>
        </is>
      </c>
      <c r="I128" t="n">
        <v>0.6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s="2" t="inlineStr"/>
    </row>
    <row r="129" ht="15" customHeight="1">
      <c r="A129" t="inlineStr">
        <is>
          <t>A 54586-2023</t>
        </is>
      </c>
      <c r="B129" t="inlineStr">
        <is>
          <t>avverkningsanmälan</t>
        </is>
      </c>
      <c r="C129" t="inlineStr">
        <is>
          <t>Föryngringsavverkning</t>
        </is>
      </c>
      <c r="D129" s="1" t="n">
        <v>45233</v>
      </c>
      <c r="E129" s="1" t="n">
        <v>46322</v>
      </c>
      <c r="F129" t="inlineStr">
        <is>
          <t>VÄSTRA GÖTALANDS LÄN</t>
        </is>
      </c>
      <c r="G129" t="inlineStr">
        <is>
          <t>VÅRGÅRDA</t>
        </is>
      </c>
      <c r="I129" t="n">
        <v>3.9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s="2" t="inlineStr"/>
    </row>
    <row r="130" ht="15" customHeight="1">
      <c r="A130" t="inlineStr">
        <is>
          <t>A 61731-2025</t>
        </is>
      </c>
      <c r="B130" t="inlineStr">
        <is>
          <t>avverkningsanmälan</t>
        </is>
      </c>
      <c r="C130" t="inlineStr">
        <is>
          <t>Föryngringsavverkning</t>
        </is>
      </c>
      <c r="D130" s="1" t="n">
        <v>46002</v>
      </c>
      <c r="E130" s="1" t="n">
        <v>46322</v>
      </c>
      <c r="F130" t="inlineStr">
        <is>
          <t>VÄSTRA GÖTALANDS LÄN</t>
        </is>
      </c>
      <c r="G130" t="inlineStr">
        <is>
          <t>VÅRGÅRDA</t>
        </is>
      </c>
      <c r="I130" t="n">
        <v>1.2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s="2" t="inlineStr"/>
    </row>
    <row r="131" ht="15" customHeight="1">
      <c r="A131" t="inlineStr">
        <is>
          <t>A 27227-2025</t>
        </is>
      </c>
      <c r="B131" t="inlineStr">
        <is>
          <t>avverkningsanmälan</t>
        </is>
      </c>
      <c r="C131" t="inlineStr">
        <is>
          <t>Föryngringsavverkning</t>
        </is>
      </c>
      <c r="D131" s="1" t="n">
        <v>45812</v>
      </c>
      <c r="E131" s="1" t="n">
        <v>46322</v>
      </c>
      <c r="F131" t="inlineStr">
        <is>
          <t>VÄSTRA GÖTALANDS LÄN</t>
        </is>
      </c>
      <c r="G131" t="inlineStr">
        <is>
          <t>VÅRGÅRDA</t>
        </is>
      </c>
      <c r="I131" t="n">
        <v>3.1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s="2" t="inlineStr"/>
    </row>
    <row r="132" ht="15" customHeight="1">
      <c r="A132" t="inlineStr">
        <is>
          <t>A 27249-2025</t>
        </is>
      </c>
      <c r="B132" t="inlineStr">
        <is>
          <t>avverkningsanmälan</t>
        </is>
      </c>
      <c r="C132" t="inlineStr">
        <is>
          <t>Föryngringsavverkning</t>
        </is>
      </c>
      <c r="D132" s="1" t="n">
        <v>45812</v>
      </c>
      <c r="E132" s="1" t="n">
        <v>46322</v>
      </c>
      <c r="F132" t="inlineStr">
        <is>
          <t>VÄSTRA GÖTALANDS LÄN</t>
        </is>
      </c>
      <c r="G132" t="inlineStr">
        <is>
          <t>VÅRGÅRDA</t>
        </is>
      </c>
      <c r="I132" t="n">
        <v>3.1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s="2" t="inlineStr"/>
    </row>
    <row r="133" ht="15" customHeight="1">
      <c r="A133" t="inlineStr">
        <is>
          <t>A 28052-2025</t>
        </is>
      </c>
      <c r="B133" t="inlineStr">
        <is>
          <t>avverkningsanmälan</t>
        </is>
      </c>
      <c r="C133" t="inlineStr">
        <is>
          <t>Föryngringsavverkning</t>
        </is>
      </c>
      <c r="D133" s="1" t="n">
        <v>45817</v>
      </c>
      <c r="E133" s="1" t="n">
        <v>46322</v>
      </c>
      <c r="F133" t="inlineStr">
        <is>
          <t>VÄSTRA GÖTALANDS LÄN</t>
        </is>
      </c>
      <c r="G133" t="inlineStr">
        <is>
          <t>VÅRGÅRDA</t>
        </is>
      </c>
      <c r="I133" t="n">
        <v>0.8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s="2" t="inlineStr"/>
    </row>
    <row r="134" ht="15" customHeight="1">
      <c r="A134" t="inlineStr">
        <is>
          <t>A 20275-2025</t>
        </is>
      </c>
      <c r="B134" t="inlineStr">
        <is>
          <t>avverkningsanmälan</t>
        </is>
      </c>
      <c r="C134" t="inlineStr">
        <is>
          <t>Föryngringsavverkning</t>
        </is>
      </c>
      <c r="D134" s="1" t="n">
        <v>45774</v>
      </c>
      <c r="E134" s="1" t="n">
        <v>46322</v>
      </c>
      <c r="F134" t="inlineStr">
        <is>
          <t>VÄSTRA GÖTALANDS LÄN</t>
        </is>
      </c>
      <c r="G134" t="inlineStr">
        <is>
          <t>VÅRGÅRDA</t>
        </is>
      </c>
      <c r="I134" t="n">
        <v>3.8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s="2" t="inlineStr"/>
    </row>
    <row r="135" ht="15" customHeight="1">
      <c r="A135" t="inlineStr">
        <is>
          <t>A 54185-2024</t>
        </is>
      </c>
      <c r="B135" t="inlineStr">
        <is>
          <t>avverkningsanmälan</t>
        </is>
      </c>
      <c r="C135" t="inlineStr">
        <is>
          <t>Föryngringsavverkning</t>
        </is>
      </c>
      <c r="D135" s="1" t="n">
        <v>45616</v>
      </c>
      <c r="E135" s="1" t="n">
        <v>46322</v>
      </c>
      <c r="F135" t="inlineStr">
        <is>
          <t>VÄSTRA GÖTALANDS LÄN</t>
        </is>
      </c>
      <c r="G135" t="inlineStr">
        <is>
          <t>VÅRGÅRDA</t>
        </is>
      </c>
      <c r="I135" t="n">
        <v>5.1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s="2" t="inlineStr"/>
    </row>
    <row r="136" ht="15" customHeight="1">
      <c r="A136" t="inlineStr">
        <is>
          <t>A 27141-2024</t>
        </is>
      </c>
      <c r="B136" t="inlineStr">
        <is>
          <t>avverkningsanmälan</t>
        </is>
      </c>
      <c r="C136" t="inlineStr">
        <is>
          <t>Föryngringsavverkning</t>
        </is>
      </c>
      <c r="D136" s="1" t="n">
        <v>45471</v>
      </c>
      <c r="E136" s="1" t="n">
        <v>46322</v>
      </c>
      <c r="F136" t="inlineStr">
        <is>
          <t>VÄSTRA GÖTALANDS LÄN</t>
        </is>
      </c>
      <c r="G136" t="inlineStr">
        <is>
          <t>VÅRGÅRDA</t>
        </is>
      </c>
      <c r="I136" t="n">
        <v>2.5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s="2" t="inlineStr"/>
    </row>
    <row r="137" ht="15" customHeight="1">
      <c r="A137" t="inlineStr">
        <is>
          <t>A 44431-2023</t>
        </is>
      </c>
      <c r="B137" t="inlineStr">
        <is>
          <t>avverkningsanmälan</t>
        </is>
      </c>
      <c r="C137" t="inlineStr">
        <is>
          <t>Föryngringsavverkning</t>
        </is>
      </c>
      <c r="D137" s="1" t="n">
        <v>45189</v>
      </c>
      <c r="E137" s="1" t="n">
        <v>46322</v>
      </c>
      <c r="F137" t="inlineStr">
        <is>
          <t>VÄSTRA GÖTALANDS LÄN</t>
        </is>
      </c>
      <c r="G137" t="inlineStr">
        <is>
          <t>VÅRGÅRDA</t>
        </is>
      </c>
      <c r="I137" t="n">
        <v>2.5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s="2" t="inlineStr"/>
    </row>
    <row r="138" ht="15" customHeight="1">
      <c r="A138" t="inlineStr">
        <is>
          <t>A 45978-2022</t>
        </is>
      </c>
      <c r="B138" t="inlineStr">
        <is>
          <t>avverkningsanmälan</t>
        </is>
      </c>
      <c r="C138" t="inlineStr">
        <is>
          <t>Föryngringsavverkning</t>
        </is>
      </c>
      <c r="D138" s="1" t="n">
        <v>44846</v>
      </c>
      <c r="E138" s="1" t="n">
        <v>46322</v>
      </c>
      <c r="F138" t="inlineStr">
        <is>
          <t>VÄSTRA GÖTALANDS LÄN</t>
        </is>
      </c>
      <c r="G138" t="inlineStr">
        <is>
          <t>VÅRGÅRDA</t>
        </is>
      </c>
      <c r="I138" t="n">
        <v>2.1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s="2" t="inlineStr"/>
    </row>
    <row r="139" ht="15" customHeight="1">
      <c r="A139" t="inlineStr">
        <is>
          <t>A 54937-2022</t>
        </is>
      </c>
      <c r="B139" t="inlineStr">
        <is>
          <t>avverkningsanmälan</t>
        </is>
      </c>
      <c r="C139" t="inlineStr">
        <is>
          <t>Föryngringsavverkning</t>
        </is>
      </c>
      <c r="D139" s="1" t="n">
        <v>44881</v>
      </c>
      <c r="E139" s="1" t="n">
        <v>46322</v>
      </c>
      <c r="F139" t="inlineStr">
        <is>
          <t>VÄSTRA GÖTALANDS LÄN</t>
        </is>
      </c>
      <c r="G139" t="inlineStr">
        <is>
          <t>VÅRGÅRDA</t>
        </is>
      </c>
      <c r="I139" t="n">
        <v>2.6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s="2" t="inlineStr"/>
    </row>
    <row r="140" ht="15" customHeight="1">
      <c r="A140" t="inlineStr">
        <is>
          <t>A 13034-2025</t>
        </is>
      </c>
      <c r="B140" t="inlineStr">
        <is>
          <t>avverkningsanmälan</t>
        </is>
      </c>
      <c r="C140" t="inlineStr">
        <is>
          <t>Föryngringsavverkning</t>
        </is>
      </c>
      <c r="D140" s="1" t="n">
        <v>45734</v>
      </c>
      <c r="E140" s="1" t="n">
        <v>46322</v>
      </c>
      <c r="F140" t="inlineStr">
        <is>
          <t>VÄSTRA GÖTALANDS LÄN</t>
        </is>
      </c>
      <c r="G140" t="inlineStr">
        <is>
          <t>VÅRGÅRDA</t>
        </is>
      </c>
      <c r="I140" t="n">
        <v>0.4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s="2" t="inlineStr"/>
    </row>
    <row r="141" ht="15" customHeight="1">
      <c r="A141" t="inlineStr">
        <is>
          <t>A 5663-2025</t>
        </is>
      </c>
      <c r="B141" t="inlineStr">
        <is>
          <t>avverkningsanmälan</t>
        </is>
      </c>
      <c r="C141" t="inlineStr">
        <is>
          <t>Föryngringsavverkning</t>
        </is>
      </c>
      <c r="D141" s="1" t="n">
        <v>45693</v>
      </c>
      <c r="E141" s="1" t="n">
        <v>46322</v>
      </c>
      <c r="F141" t="inlineStr">
        <is>
          <t>VÄSTRA GÖTALANDS LÄN</t>
        </is>
      </c>
      <c r="G141" t="inlineStr">
        <is>
          <t>VÅRGÅRDA</t>
        </is>
      </c>
      <c r="I141" t="n">
        <v>8.199999999999999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s="2" t="inlineStr"/>
    </row>
    <row r="142" ht="15" customHeight="1">
      <c r="A142" t="inlineStr">
        <is>
          <t>A 7329-2025</t>
        </is>
      </c>
      <c r="B142" t="inlineStr">
        <is>
          <t>avverkningsanmälan</t>
        </is>
      </c>
      <c r="C142" t="inlineStr">
        <is>
          <t>Föryngringsavverkning</t>
        </is>
      </c>
      <c r="D142" s="1" t="n">
        <v>45703</v>
      </c>
      <c r="E142" s="1" t="n">
        <v>46322</v>
      </c>
      <c r="F142" t="inlineStr">
        <is>
          <t>VÄSTRA GÖTALANDS LÄN</t>
        </is>
      </c>
      <c r="G142" t="inlineStr">
        <is>
          <t>VÅRGÅRDA</t>
        </is>
      </c>
      <c r="I142" t="n">
        <v>1.3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s="2" t="inlineStr"/>
    </row>
    <row r="143" ht="15" customHeight="1">
      <c r="A143" t="inlineStr">
        <is>
          <t>A 7680-2025</t>
        </is>
      </c>
      <c r="B143" t="inlineStr">
        <is>
          <t>avverkningsanmälan</t>
        </is>
      </c>
      <c r="C143" t="inlineStr">
        <is>
          <t>Föryngringsavverkning</t>
        </is>
      </c>
      <c r="D143" s="1" t="n">
        <v>45706</v>
      </c>
      <c r="E143" s="1" t="n">
        <v>46322</v>
      </c>
      <c r="F143" t="inlineStr">
        <is>
          <t>VÄSTRA GÖTALANDS LÄN</t>
        </is>
      </c>
      <c r="G143" t="inlineStr">
        <is>
          <t>VÅRGÅRDA</t>
        </is>
      </c>
      <c r="I143" t="n">
        <v>0.5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s="2" t="inlineStr"/>
    </row>
    <row r="144" ht="15" customHeight="1">
      <c r="A144" t="inlineStr">
        <is>
          <t>A 9086-2024</t>
        </is>
      </c>
      <c r="B144" t="inlineStr">
        <is>
          <t>avverkningsanmälan</t>
        </is>
      </c>
      <c r="C144" t="inlineStr">
        <is>
          <t>Föryngringsavverkning</t>
        </is>
      </c>
      <c r="D144" s="1" t="n">
        <v>45357</v>
      </c>
      <c r="E144" s="1" t="n">
        <v>46322</v>
      </c>
      <c r="F144" t="inlineStr">
        <is>
          <t>VÄSTRA GÖTALANDS LÄN</t>
        </is>
      </c>
      <c r="G144" t="inlineStr">
        <is>
          <t>VÅRGÅRDA</t>
        </is>
      </c>
      <c r="I144" t="n">
        <v>5.8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s="2" t="inlineStr"/>
    </row>
    <row r="145" ht="15" customHeight="1">
      <c r="A145" t="inlineStr">
        <is>
          <t>A 9089-2024</t>
        </is>
      </c>
      <c r="B145" t="inlineStr">
        <is>
          <t>avverkningsanmälan</t>
        </is>
      </c>
      <c r="C145" t="inlineStr">
        <is>
          <t>Föryngringsavverkning</t>
        </is>
      </c>
      <c r="D145" s="1" t="n">
        <v>45357</v>
      </c>
      <c r="E145" s="1" t="n">
        <v>46322</v>
      </c>
      <c r="F145" t="inlineStr">
        <is>
          <t>VÄSTRA GÖTALANDS LÄN</t>
        </is>
      </c>
      <c r="G145" t="inlineStr">
        <is>
          <t>VÅRGÅRDA</t>
        </is>
      </c>
      <c r="I145" t="n">
        <v>0.7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s="2" t="inlineStr"/>
    </row>
    <row r="146" ht="15" customHeight="1">
      <c r="A146" t="inlineStr">
        <is>
          <t>A 20022-2025</t>
        </is>
      </c>
      <c r="B146" t="inlineStr">
        <is>
          <t>avverkningsanmälan</t>
        </is>
      </c>
      <c r="C146" t="inlineStr">
        <is>
          <t>Föryngringsavverkning</t>
        </is>
      </c>
      <c r="D146" s="1" t="n">
        <v>45772</v>
      </c>
      <c r="E146" s="1" t="n">
        <v>46322</v>
      </c>
      <c r="F146" t="inlineStr">
        <is>
          <t>VÄSTRA GÖTALANDS LÄN</t>
        </is>
      </c>
      <c r="G146" t="inlineStr">
        <is>
          <t>VÅRGÅRDA</t>
        </is>
      </c>
      <c r="I146" t="n">
        <v>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s="2" t="inlineStr"/>
    </row>
    <row r="147" ht="15" customHeight="1">
      <c r="A147" t="inlineStr">
        <is>
          <t>A 13122-2025</t>
        </is>
      </c>
      <c r="B147" t="inlineStr">
        <is>
          <t>avverkningsanmälan</t>
        </is>
      </c>
      <c r="C147" t="inlineStr">
        <is>
          <t>Föryngringsavverkning</t>
        </is>
      </c>
      <c r="D147" s="1" t="n">
        <v>45734</v>
      </c>
      <c r="E147" s="1" t="n">
        <v>46322</v>
      </c>
      <c r="F147" t="inlineStr">
        <is>
          <t>VÄSTRA GÖTALANDS LÄN</t>
        </is>
      </c>
      <c r="G147" t="inlineStr">
        <is>
          <t>VÅRGÅRDA</t>
        </is>
      </c>
      <c r="I147" t="n">
        <v>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s="2" t="inlineStr"/>
    </row>
    <row r="148" ht="15" customHeight="1">
      <c r="A148" t="inlineStr">
        <is>
          <t>A 42359-2023</t>
        </is>
      </c>
      <c r="B148" t="inlineStr">
        <is>
          <t>avverkningsanmälan</t>
        </is>
      </c>
      <c r="C148" t="inlineStr">
        <is>
          <t>Föryngringsavverkning</t>
        </is>
      </c>
      <c r="D148" s="1" t="n">
        <v>45180</v>
      </c>
      <c r="E148" s="1" t="n">
        <v>46322</v>
      </c>
      <c r="F148" t="inlineStr">
        <is>
          <t>VÄSTRA GÖTALANDS LÄN</t>
        </is>
      </c>
      <c r="G148" t="inlineStr">
        <is>
          <t>VÅRGÅRDA</t>
        </is>
      </c>
      <c r="I148" t="n">
        <v>1.6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s="2" t="inlineStr"/>
    </row>
    <row r="149" ht="15" customHeight="1">
      <c r="A149" t="inlineStr">
        <is>
          <t>A 62097-2022</t>
        </is>
      </c>
      <c r="B149" t="inlineStr">
        <is>
          <t>avverkningsanmälan</t>
        </is>
      </c>
      <c r="C149" t="inlineStr">
        <is>
          <t>Föryngringsavverkning</t>
        </is>
      </c>
      <c r="D149" s="1" t="n">
        <v>44920</v>
      </c>
      <c r="E149" s="1" t="n">
        <v>46322</v>
      </c>
      <c r="F149" t="inlineStr">
        <is>
          <t>VÄSTRA GÖTALANDS LÄN</t>
        </is>
      </c>
      <c r="G149" t="inlineStr">
        <is>
          <t>VÅRGÅRDA</t>
        </is>
      </c>
      <c r="I149" t="n">
        <v>2.5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s="2" t="inlineStr"/>
    </row>
    <row r="150" ht="15" customHeight="1">
      <c r="A150" t="inlineStr">
        <is>
          <t>A 30079-2025</t>
        </is>
      </c>
      <c r="B150" t="inlineStr">
        <is>
          <t>avverkningsanmälan</t>
        </is>
      </c>
      <c r="C150" t="inlineStr">
        <is>
          <t>Föryngringsavverkning</t>
        </is>
      </c>
      <c r="D150" s="1" t="n">
        <v>45826</v>
      </c>
      <c r="E150" s="1" t="n">
        <v>46322</v>
      </c>
      <c r="F150" t="inlineStr">
        <is>
          <t>VÄSTRA GÖTALANDS LÄN</t>
        </is>
      </c>
      <c r="G150" t="inlineStr">
        <is>
          <t>VÅRGÅRDA</t>
        </is>
      </c>
      <c r="I150" t="n">
        <v>1.3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s="2" t="inlineStr"/>
    </row>
    <row r="151" ht="15" customHeight="1">
      <c r="A151" t="inlineStr">
        <is>
          <t>A 22202-2024</t>
        </is>
      </c>
      <c r="B151" t="inlineStr">
        <is>
          <t>avverkningsanmälan</t>
        </is>
      </c>
      <c r="C151" t="inlineStr">
        <is>
          <t>Föryngringsavverkning</t>
        </is>
      </c>
      <c r="D151" s="1" t="n">
        <v>45446</v>
      </c>
      <c r="E151" s="1" t="n">
        <v>46322</v>
      </c>
      <c r="F151" t="inlineStr">
        <is>
          <t>VÄSTRA GÖTALANDS LÄN</t>
        </is>
      </c>
      <c r="G151" t="inlineStr">
        <is>
          <t>VÅRGÅRDA</t>
        </is>
      </c>
      <c r="I151" t="n">
        <v>2.1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s="2" t="inlineStr"/>
    </row>
    <row r="152" ht="15" customHeight="1">
      <c r="A152" t="inlineStr">
        <is>
          <t>A 1880-2026</t>
        </is>
      </c>
      <c r="B152" t="inlineStr">
        <is>
          <t>avverkningsanmälan</t>
        </is>
      </c>
      <c r="C152" t="inlineStr">
        <is>
          <t>Föryngringsavverkning</t>
        </is>
      </c>
      <c r="D152" s="1" t="n">
        <v>46035</v>
      </c>
      <c r="E152" s="1" t="n">
        <v>46322</v>
      </c>
      <c r="F152" t="inlineStr">
        <is>
          <t>VÄSTRA GÖTALANDS LÄN</t>
        </is>
      </c>
      <c r="G152" t="inlineStr">
        <is>
          <t>VÅRGÅRDA</t>
        </is>
      </c>
      <c r="I152" t="n">
        <v>3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s="2" t="inlineStr"/>
    </row>
    <row r="153" ht="15" customHeight="1">
      <c r="A153" t="inlineStr">
        <is>
          <t>A 1438-2026</t>
        </is>
      </c>
      <c r="B153" t="inlineStr">
        <is>
          <t>avverkningsanmälan</t>
        </is>
      </c>
      <c r="C153" t="inlineStr">
        <is>
          <t>Föryngringsavverkning</t>
        </is>
      </c>
      <c r="D153" s="1" t="n">
        <v>46032</v>
      </c>
      <c r="E153" s="1" t="n">
        <v>46322</v>
      </c>
      <c r="F153" t="inlineStr">
        <is>
          <t>VÄSTRA GÖTALANDS LÄN</t>
        </is>
      </c>
      <c r="G153" t="inlineStr">
        <is>
          <t>VÅRGÅRDA</t>
        </is>
      </c>
      <c r="I153" t="n">
        <v>1.2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s="2" t="inlineStr"/>
    </row>
    <row r="154" ht="15" customHeight="1">
      <c r="A154" t="inlineStr">
        <is>
          <t>A 9749-2023</t>
        </is>
      </c>
      <c r="B154" t="inlineStr">
        <is>
          <t>avverkningsanmälan</t>
        </is>
      </c>
      <c r="C154" t="inlineStr">
        <is>
          <t>Föryngringsavverkning</t>
        </is>
      </c>
      <c r="D154" s="1" t="n">
        <v>44984</v>
      </c>
      <c r="E154" s="1" t="n">
        <v>46322</v>
      </c>
      <c r="F154" t="inlineStr">
        <is>
          <t>VÄSTRA GÖTALANDS LÄN</t>
        </is>
      </c>
      <c r="G154" t="inlineStr">
        <is>
          <t>VÅRGÅRDA</t>
        </is>
      </c>
      <c r="I154" t="n">
        <v>3.3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s="2" t="inlineStr"/>
    </row>
    <row r="155" ht="15" customHeight="1">
      <c r="A155" t="inlineStr">
        <is>
          <t>A 1427-2026</t>
        </is>
      </c>
      <c r="B155" t="inlineStr">
        <is>
          <t>avverkningsanmälan</t>
        </is>
      </c>
      <c r="C155" t="inlineStr">
        <is>
          <t>Föryngringsavverkning</t>
        </is>
      </c>
      <c r="D155" s="1" t="n">
        <v>46031</v>
      </c>
      <c r="E155" s="1" t="n">
        <v>46322</v>
      </c>
      <c r="F155" t="inlineStr">
        <is>
          <t>VÄSTRA GÖTALANDS LÄN</t>
        </is>
      </c>
      <c r="G155" t="inlineStr">
        <is>
          <t>VÅRGÅRDA</t>
        </is>
      </c>
      <c r="I155" t="n">
        <v>2.1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s="2" t="inlineStr"/>
    </row>
    <row r="156" ht="15" customHeight="1">
      <c r="A156" t="inlineStr">
        <is>
          <t>A 1437-2026</t>
        </is>
      </c>
      <c r="B156" t="inlineStr">
        <is>
          <t>avverkningsanmälan</t>
        </is>
      </c>
      <c r="C156" t="inlineStr">
        <is>
          <t>Föryngringsavverkning</t>
        </is>
      </c>
      <c r="D156" s="1" t="n">
        <v>46032</v>
      </c>
      <c r="E156" s="1" t="n">
        <v>46322</v>
      </c>
      <c r="F156" t="inlineStr">
        <is>
          <t>VÄSTRA GÖTALANDS LÄN</t>
        </is>
      </c>
      <c r="G156" t="inlineStr">
        <is>
          <t>VÅRGÅRDA</t>
        </is>
      </c>
      <c r="I156" t="n">
        <v>1.8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s="2" t="inlineStr"/>
    </row>
    <row r="157" ht="15" customHeight="1">
      <c r="A157" t="inlineStr">
        <is>
          <t>A 1513-2026</t>
        </is>
      </c>
      <c r="B157" t="inlineStr">
        <is>
          <t>avverkningsanmälan</t>
        </is>
      </c>
      <c r="C157" t="inlineStr">
        <is>
          <t>Föryngringsavverkning</t>
        </is>
      </c>
      <c r="D157" s="1" t="n">
        <v>46034</v>
      </c>
      <c r="E157" s="1" t="n">
        <v>46322</v>
      </c>
      <c r="F157" t="inlineStr">
        <is>
          <t>VÄSTRA GÖTALANDS LÄN</t>
        </is>
      </c>
      <c r="G157" t="inlineStr">
        <is>
          <t>VÅRGÅRDA</t>
        </is>
      </c>
      <c r="I157" t="n">
        <v>1.1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s="2" t="inlineStr"/>
    </row>
    <row r="158" ht="15" customHeight="1">
      <c r="A158" t="inlineStr">
        <is>
          <t>A 44421-2024</t>
        </is>
      </c>
      <c r="B158" t="inlineStr">
        <is>
          <t>avverkningsanmälan</t>
        </is>
      </c>
      <c r="C158" t="inlineStr">
        <is>
          <t>Föryngringsavverkning</t>
        </is>
      </c>
      <c r="D158" s="1" t="n">
        <v>45573</v>
      </c>
      <c r="E158" s="1" t="n">
        <v>46322</v>
      </c>
      <c r="F158" t="inlineStr">
        <is>
          <t>VÄSTRA GÖTALANDS LÄN</t>
        </is>
      </c>
      <c r="G158" t="inlineStr">
        <is>
          <t>VÅRGÅRDA</t>
        </is>
      </c>
      <c r="I158" t="n">
        <v>4.3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s="2" t="inlineStr"/>
    </row>
    <row r="159" ht="15" customHeight="1">
      <c r="A159" t="inlineStr">
        <is>
          <t>A 2410-2026</t>
        </is>
      </c>
      <c r="B159" t="inlineStr">
        <is>
          <t>avverkningsanmälan</t>
        </is>
      </c>
      <c r="C159" t="inlineStr">
        <is>
          <t>Föryngringsavverkning</t>
        </is>
      </c>
      <c r="D159" s="1" t="n">
        <v>46036</v>
      </c>
      <c r="E159" s="1" t="n">
        <v>46322</v>
      </c>
      <c r="F159" t="inlineStr">
        <is>
          <t>VÄSTRA GÖTALANDS LÄN</t>
        </is>
      </c>
      <c r="G159" t="inlineStr">
        <is>
          <t>VÅRGÅRDA</t>
        </is>
      </c>
      <c r="I159" t="n">
        <v>2.8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s="2" t="inlineStr"/>
    </row>
    <row r="160" ht="15" customHeight="1">
      <c r="A160" t="inlineStr">
        <is>
          <t>A 42552-2024</t>
        </is>
      </c>
      <c r="B160" t="inlineStr">
        <is>
          <t>avverkningsanmälan</t>
        </is>
      </c>
      <c r="C160" t="inlineStr">
        <is>
          <t>Föryngringsavverkning</t>
        </is>
      </c>
      <c r="D160" s="1" t="n">
        <v>45565</v>
      </c>
      <c r="E160" s="1" t="n">
        <v>46322</v>
      </c>
      <c r="F160" t="inlineStr">
        <is>
          <t>VÄSTRA GÖTALANDS LÄN</t>
        </is>
      </c>
      <c r="G160" t="inlineStr">
        <is>
          <t>VÅRGÅRDA</t>
        </is>
      </c>
      <c r="I160" t="n">
        <v>4.6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s="2" t="inlineStr"/>
    </row>
    <row r="161" ht="15" customHeight="1">
      <c r="A161" t="inlineStr">
        <is>
          <t>A 2430-2026</t>
        </is>
      </c>
      <c r="B161" t="inlineStr">
        <is>
          <t>avverkningsanmälan</t>
        </is>
      </c>
      <c r="C161" t="inlineStr">
        <is>
          <t>Föryngringsavverkning</t>
        </is>
      </c>
      <c r="D161" s="1" t="n">
        <v>46036</v>
      </c>
      <c r="E161" s="1" t="n">
        <v>46322</v>
      </c>
      <c r="F161" t="inlineStr">
        <is>
          <t>VÄSTRA GÖTALANDS LÄN</t>
        </is>
      </c>
      <c r="G161" t="inlineStr">
        <is>
          <t>VÅRGÅRDA</t>
        </is>
      </c>
      <c r="I161" t="n">
        <v>1.5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s="2" t="inlineStr"/>
    </row>
    <row r="162" ht="15" customHeight="1">
      <c r="A162" t="inlineStr">
        <is>
          <t>A 2432-2026</t>
        </is>
      </c>
      <c r="B162" t="inlineStr">
        <is>
          <t>avverkningsanmälan</t>
        </is>
      </c>
      <c r="C162" t="inlineStr">
        <is>
          <t>Föryngringsavverkning</t>
        </is>
      </c>
      <c r="D162" s="1" t="n">
        <v>46036</v>
      </c>
      <c r="E162" s="1" t="n">
        <v>46322</v>
      </c>
      <c r="F162" t="inlineStr">
        <is>
          <t>VÄSTRA GÖTALANDS LÄN</t>
        </is>
      </c>
      <c r="G162" t="inlineStr">
        <is>
          <t>VÅRGÅRDA</t>
        </is>
      </c>
      <c r="I162" t="n">
        <v>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s="2" t="inlineStr"/>
    </row>
    <row r="163" ht="15" customHeight="1">
      <c r="A163" t="inlineStr">
        <is>
          <t>A 2411-2026</t>
        </is>
      </c>
      <c r="B163" t="inlineStr">
        <is>
          <t>avverkningsanmälan</t>
        </is>
      </c>
      <c r="C163" t="inlineStr">
        <is>
          <t>Föryngringsavverkning</t>
        </is>
      </c>
      <c r="D163" s="1" t="n">
        <v>46036</v>
      </c>
      <c r="E163" s="1" t="n">
        <v>46322</v>
      </c>
      <c r="F163" t="inlineStr">
        <is>
          <t>VÄSTRA GÖTALANDS LÄN</t>
        </is>
      </c>
      <c r="G163" t="inlineStr">
        <is>
          <t>VÅRGÅRDA</t>
        </is>
      </c>
      <c r="I163" t="n">
        <v>1.9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s="2" t="inlineStr"/>
    </row>
    <row r="164" ht="15" customHeight="1">
      <c r="A164" t="inlineStr">
        <is>
          <t>A 2431-2026</t>
        </is>
      </c>
      <c r="B164" t="inlineStr">
        <is>
          <t>avverkningsanmälan</t>
        </is>
      </c>
      <c r="C164" t="inlineStr">
        <is>
          <t>Föryngringsavverkning</t>
        </is>
      </c>
      <c r="D164" s="1" t="n">
        <v>46036</v>
      </c>
      <c r="E164" s="1" t="n">
        <v>46322</v>
      </c>
      <c r="F164" t="inlineStr">
        <is>
          <t>VÄSTRA GÖTALANDS LÄN</t>
        </is>
      </c>
      <c r="G164" t="inlineStr">
        <is>
          <t>VÅRGÅRDA</t>
        </is>
      </c>
      <c r="I164" t="n">
        <v>1.7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s="2" t="inlineStr"/>
    </row>
    <row r="165" ht="15" customHeight="1">
      <c r="A165" t="inlineStr">
        <is>
          <t>A 3012-2026</t>
        </is>
      </c>
      <c r="B165" t="inlineStr">
        <is>
          <t>avverkningsanmälan</t>
        </is>
      </c>
      <c r="C165" t="inlineStr">
        <is>
          <t>Föryngringsavverkning</t>
        </is>
      </c>
      <c r="D165" s="1" t="n">
        <v>46038</v>
      </c>
      <c r="E165" s="1" t="n">
        <v>46322</v>
      </c>
      <c r="F165" t="inlineStr">
        <is>
          <t>VÄSTRA GÖTALANDS LÄN</t>
        </is>
      </c>
      <c r="G165" t="inlineStr">
        <is>
          <t>VÅRGÅRDA</t>
        </is>
      </c>
      <c r="I165" t="n">
        <v>3.2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s="2" t="inlineStr"/>
    </row>
    <row r="166" ht="15" customHeight="1">
      <c r="A166" t="inlineStr">
        <is>
          <t>A 35621-2025</t>
        </is>
      </c>
      <c r="B166" t="inlineStr">
        <is>
          <t>avverkningsanmälan</t>
        </is>
      </c>
      <c r="C166" t="inlineStr">
        <is>
          <t>Föryngringsavverkning</t>
        </is>
      </c>
      <c r="D166" s="1" t="n">
        <v>45859</v>
      </c>
      <c r="E166" s="1" t="n">
        <v>46322</v>
      </c>
      <c r="F166" t="inlineStr">
        <is>
          <t>VÄSTRA GÖTALANDS LÄN</t>
        </is>
      </c>
      <c r="G166" t="inlineStr">
        <is>
          <t>VÅRGÅRDA</t>
        </is>
      </c>
      <c r="I166" t="n">
        <v>1.1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s="2" t="inlineStr"/>
    </row>
    <row r="167" ht="15" customHeight="1">
      <c r="A167" t="inlineStr">
        <is>
          <t>A 3010-2026</t>
        </is>
      </c>
      <c r="B167" t="inlineStr">
        <is>
          <t>avverkningsanmälan</t>
        </is>
      </c>
      <c r="C167" t="inlineStr">
        <is>
          <t>Föryngringsavverkning</t>
        </is>
      </c>
      <c r="D167" s="1" t="n">
        <v>46038</v>
      </c>
      <c r="E167" s="1" t="n">
        <v>46322</v>
      </c>
      <c r="F167" t="inlineStr">
        <is>
          <t>VÄSTRA GÖTALANDS LÄN</t>
        </is>
      </c>
      <c r="G167" t="inlineStr">
        <is>
          <t>VÅRGÅRDA</t>
        </is>
      </c>
      <c r="I167" t="n">
        <v>2.7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s="2" t="inlineStr"/>
    </row>
    <row r="168" ht="15" customHeight="1">
      <c r="A168" t="inlineStr">
        <is>
          <t>A 26526-2022</t>
        </is>
      </c>
      <c r="B168" t="inlineStr">
        <is>
          <t>avverkningsanmälan</t>
        </is>
      </c>
      <c r="C168" t="inlineStr">
        <is>
          <t>Föryngringsavverkning</t>
        </is>
      </c>
      <c r="D168" s="1" t="n">
        <v>44739</v>
      </c>
      <c r="E168" s="1" t="n">
        <v>46322</v>
      </c>
      <c r="F168" t="inlineStr">
        <is>
          <t>VÄSTRA GÖTALANDS LÄN</t>
        </is>
      </c>
      <c r="G168" t="inlineStr">
        <is>
          <t>VÅRGÅRDA</t>
        </is>
      </c>
      <c r="I168" t="n">
        <v>3.1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s="2" t="inlineStr"/>
    </row>
    <row r="169" ht="15" customHeight="1">
      <c r="A169" t="inlineStr">
        <is>
          <t>A 56637-2024</t>
        </is>
      </c>
      <c r="B169" t="inlineStr">
        <is>
          <t>avverkningsanmälan</t>
        </is>
      </c>
      <c r="C169" t="inlineStr">
        <is>
          <t>Föryngringsavverkning</t>
        </is>
      </c>
      <c r="D169" s="1" t="n">
        <v>45625</v>
      </c>
      <c r="E169" s="1" t="n">
        <v>46322</v>
      </c>
      <c r="F169" t="inlineStr">
        <is>
          <t>VÄSTRA GÖTALANDS LÄN</t>
        </is>
      </c>
      <c r="G169" t="inlineStr">
        <is>
          <t>VÅRGÅRDA</t>
        </is>
      </c>
      <c r="I169" t="n">
        <v>4.3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s="2" t="inlineStr"/>
    </row>
    <row r="170" ht="15" customHeight="1">
      <c r="A170" t="inlineStr">
        <is>
          <t>A 3382-2026</t>
        </is>
      </c>
      <c r="B170" t="inlineStr">
        <is>
          <t>avverkningsanmälan</t>
        </is>
      </c>
      <c r="C170" t="inlineStr">
        <is>
          <t>Föryngringsavverkning</t>
        </is>
      </c>
      <c r="D170" s="1" t="n">
        <v>46042</v>
      </c>
      <c r="E170" s="1" t="n">
        <v>46322</v>
      </c>
      <c r="F170" t="inlineStr">
        <is>
          <t>VÄSTRA GÖTALANDS LÄN</t>
        </is>
      </c>
      <c r="G170" t="inlineStr">
        <is>
          <t>VÅRGÅRDA</t>
        </is>
      </c>
      <c r="I170" t="n">
        <v>3.2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s="2" t="inlineStr"/>
    </row>
    <row r="171" ht="15" customHeight="1">
      <c r="A171" t="inlineStr">
        <is>
          <t>A 3701-2026</t>
        </is>
      </c>
      <c r="B171" t="inlineStr">
        <is>
          <t>avverkningsanmälan</t>
        </is>
      </c>
      <c r="C171" t="inlineStr">
        <is>
          <t>Föryngringsavverkning</t>
        </is>
      </c>
      <c r="D171" s="1" t="n">
        <v>46043</v>
      </c>
      <c r="E171" s="1" t="n">
        <v>46322</v>
      </c>
      <c r="F171" t="inlineStr">
        <is>
          <t>VÄSTRA GÖTALANDS LÄN</t>
        </is>
      </c>
      <c r="G171" t="inlineStr">
        <is>
          <t>VÅRGÅRDA</t>
        </is>
      </c>
      <c r="I171" t="n">
        <v>1.3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s="2" t="inlineStr"/>
    </row>
    <row r="172" ht="15" customHeight="1">
      <c r="A172" t="inlineStr">
        <is>
          <t>A 36639-2025</t>
        </is>
      </c>
      <c r="B172" t="inlineStr">
        <is>
          <t>avverkningsanmälan</t>
        </is>
      </c>
      <c r="C172" t="inlineStr">
        <is>
          <t>Föryngringsavverkning</t>
        </is>
      </c>
      <c r="D172" s="1" t="n">
        <v>45870</v>
      </c>
      <c r="E172" s="1" t="n">
        <v>46322</v>
      </c>
      <c r="F172" t="inlineStr">
        <is>
          <t>VÄSTRA GÖTALANDS LÄN</t>
        </is>
      </c>
      <c r="G172" t="inlineStr">
        <is>
          <t>VÅRGÅRDA</t>
        </is>
      </c>
      <c r="I172" t="n">
        <v>0.6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s="2" t="inlineStr"/>
    </row>
    <row r="173" ht="15" customHeight="1">
      <c r="A173" t="inlineStr">
        <is>
          <t>A 13397-2025</t>
        </is>
      </c>
      <c r="B173" t="inlineStr">
        <is>
          <t>avverkningsanmälan</t>
        </is>
      </c>
      <c r="C173" t="inlineStr">
        <is>
          <t>Föryngringsavverkning</t>
        </is>
      </c>
      <c r="D173" s="1" t="n">
        <v>45735</v>
      </c>
      <c r="E173" s="1" t="n">
        <v>46322</v>
      </c>
      <c r="F173" t="inlineStr">
        <is>
          <t>VÄSTRA GÖTALANDS LÄN</t>
        </is>
      </c>
      <c r="G173" t="inlineStr">
        <is>
          <t>VÅRGÅRDA</t>
        </is>
      </c>
      <c r="I173" t="n">
        <v>7.1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s="2" t="inlineStr"/>
    </row>
    <row r="174" ht="15" customHeight="1">
      <c r="A174" t="inlineStr">
        <is>
          <t>A 5708-2026</t>
        </is>
      </c>
      <c r="B174" t="inlineStr">
        <is>
          <t>avverkningsanmälan</t>
        </is>
      </c>
      <c r="C174" t="inlineStr">
        <is>
          <t>Föryngringsavverkning</t>
        </is>
      </c>
      <c r="D174" s="1" t="n">
        <v>46051</v>
      </c>
      <c r="E174" s="1" t="n">
        <v>46322</v>
      </c>
      <c r="F174" t="inlineStr">
        <is>
          <t>VÄSTRA GÖTALANDS LÄN</t>
        </is>
      </c>
      <c r="G174" t="inlineStr">
        <is>
          <t>VÅRGÅRDA</t>
        </is>
      </c>
      <c r="I174" t="n">
        <v>9.199999999999999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s="2" t="inlineStr"/>
    </row>
    <row r="175" ht="15" customHeight="1">
      <c r="A175" t="inlineStr">
        <is>
          <t>A 5707-2026</t>
        </is>
      </c>
      <c r="B175" t="inlineStr">
        <is>
          <t>avverkningsanmälan</t>
        </is>
      </c>
      <c r="C175" t="inlineStr">
        <is>
          <t>Föryngringsavverkning</t>
        </is>
      </c>
      <c r="D175" s="1" t="n">
        <v>46051</v>
      </c>
      <c r="E175" s="1" t="n">
        <v>46322</v>
      </c>
      <c r="F175" t="inlineStr">
        <is>
          <t>VÄSTRA GÖTALANDS LÄN</t>
        </is>
      </c>
      <c r="G175" t="inlineStr">
        <is>
          <t>VÅRGÅRDA</t>
        </is>
      </c>
      <c r="I175" t="n">
        <v>2.6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s="2" t="inlineStr"/>
    </row>
    <row r="176" ht="15" customHeight="1">
      <c r="A176" t="inlineStr">
        <is>
          <t>A 36974-2024</t>
        </is>
      </c>
      <c r="B176" t="inlineStr">
        <is>
          <t>avverkningsanmälan</t>
        </is>
      </c>
      <c r="C176" t="inlineStr">
        <is>
          <t>Föryngringsavverkning</t>
        </is>
      </c>
      <c r="D176" s="1" t="n">
        <v>45538</v>
      </c>
      <c r="E176" s="1" t="n">
        <v>46322</v>
      </c>
      <c r="F176" t="inlineStr">
        <is>
          <t>VÄSTRA GÖTALANDS LÄN</t>
        </is>
      </c>
      <c r="G176" t="inlineStr">
        <is>
          <t>VÅRGÅRDA</t>
        </is>
      </c>
      <c r="I176" t="n">
        <v>1.5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s="2" t="inlineStr"/>
    </row>
    <row r="177" ht="15" customHeight="1">
      <c r="A177" t="inlineStr">
        <is>
          <t>A 24785-2023</t>
        </is>
      </c>
      <c r="B177" t="inlineStr">
        <is>
          <t>avverkningsanmälan</t>
        </is>
      </c>
      <c r="C177" t="inlineStr">
        <is>
          <t>Föryngringsavverkning</t>
        </is>
      </c>
      <c r="D177" s="1" t="n">
        <v>45084</v>
      </c>
      <c r="E177" s="1" t="n">
        <v>46322</v>
      </c>
      <c r="F177" t="inlineStr">
        <is>
          <t>VÄSTRA GÖTALANDS LÄN</t>
        </is>
      </c>
      <c r="G177" t="inlineStr">
        <is>
          <t>VÅRGÅRDA</t>
        </is>
      </c>
      <c r="I177" t="n">
        <v>2.6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s="2" t="inlineStr"/>
    </row>
    <row r="178" ht="15" customHeight="1">
      <c r="A178" t="inlineStr">
        <is>
          <t>A 29918-2026</t>
        </is>
      </c>
      <c r="B178" t="inlineStr">
        <is>
          <t>avverkningsanmälan</t>
        </is>
      </c>
      <c r="C178" t="inlineStr">
        <is>
          <t>Föryngringsavverkning</t>
        </is>
      </c>
      <c r="D178" s="1" t="n">
        <v>46205</v>
      </c>
      <c r="E178" s="1" t="n">
        <v>46322</v>
      </c>
      <c r="F178" t="inlineStr">
        <is>
          <t>VÄSTRA GÖTALANDS LÄN</t>
        </is>
      </c>
      <c r="G178" t="inlineStr">
        <is>
          <t>VÅRGÅRDA</t>
        </is>
      </c>
      <c r="I178" t="n">
        <v>2.5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s="2" t="inlineStr"/>
    </row>
    <row r="179" ht="15" customHeight="1">
      <c r="A179" t="inlineStr">
        <is>
          <t>A 29926-2026</t>
        </is>
      </c>
      <c r="B179" t="inlineStr">
        <is>
          <t>avverkningsanmälan</t>
        </is>
      </c>
      <c r="C179" t="inlineStr">
        <is>
          <t>Avverkning för annat ändamål</t>
        </is>
      </c>
      <c r="D179" s="1" t="n">
        <v>46205</v>
      </c>
      <c r="E179" s="1" t="n">
        <v>46322</v>
      </c>
      <c r="F179" t="inlineStr">
        <is>
          <t>VÄSTRA GÖTALANDS LÄN</t>
        </is>
      </c>
      <c r="G179" t="inlineStr">
        <is>
          <t>VÅRGÅRDA</t>
        </is>
      </c>
      <c r="I179" t="n">
        <v>0.2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s="2" t="inlineStr"/>
    </row>
    <row r="180" ht="15" customHeight="1">
      <c r="A180" t="inlineStr">
        <is>
          <t>A 20807-2025</t>
        </is>
      </c>
      <c r="B180" t="inlineStr">
        <is>
          <t>avverkningsanmälan</t>
        </is>
      </c>
      <c r="C180" t="inlineStr">
        <is>
          <t>Föryngringsavverkning</t>
        </is>
      </c>
      <c r="D180" s="1" t="n">
        <v>45776</v>
      </c>
      <c r="E180" s="1" t="n">
        <v>46322</v>
      </c>
      <c r="F180" t="inlineStr">
        <is>
          <t>VÄSTRA GÖTALANDS LÄN</t>
        </is>
      </c>
      <c r="G180" t="inlineStr">
        <is>
          <t>VÅRGÅRDA</t>
        </is>
      </c>
      <c r="H180" t="inlineStr">
        <is>
          <t>Kommuner</t>
        </is>
      </c>
      <c r="I180" t="n">
        <v>1.7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s="2" t="inlineStr"/>
    </row>
    <row r="181" ht="15" customHeight="1">
      <c r="A181" t="inlineStr">
        <is>
          <t>A 42330-2023</t>
        </is>
      </c>
      <c r="B181" t="inlineStr">
        <is>
          <t>avverkningsanmälan</t>
        </is>
      </c>
      <c r="C181" t="inlineStr">
        <is>
          <t>Föryngringsavverkning</t>
        </is>
      </c>
      <c r="D181" s="1" t="n">
        <v>45180</v>
      </c>
      <c r="E181" s="1" t="n">
        <v>46322</v>
      </c>
      <c r="F181" t="inlineStr">
        <is>
          <t>VÄSTRA GÖTALANDS LÄN</t>
        </is>
      </c>
      <c r="G181" t="inlineStr">
        <is>
          <t>VÅRGÅRDA</t>
        </is>
      </c>
      <c r="I181" t="n">
        <v>0.6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s="2" t="inlineStr"/>
    </row>
    <row r="182" ht="15" customHeight="1">
      <c r="A182" t="inlineStr">
        <is>
          <t>A 19308-2025</t>
        </is>
      </c>
      <c r="B182" t="inlineStr">
        <is>
          <t>avverkningsanmälan</t>
        </is>
      </c>
      <c r="C182" t="inlineStr">
        <is>
          <t>Föryngringsavverkning</t>
        </is>
      </c>
      <c r="D182" s="1" t="n">
        <v>45769</v>
      </c>
      <c r="E182" s="1" t="n">
        <v>46322</v>
      </c>
      <c r="F182" t="inlineStr">
        <is>
          <t>VÄSTRA GÖTALANDS LÄN</t>
        </is>
      </c>
      <c r="G182" t="inlineStr">
        <is>
          <t>VÅRGÅRDA</t>
        </is>
      </c>
      <c r="H182" t="inlineStr">
        <is>
          <t>Kommuner</t>
        </is>
      </c>
      <c r="I182" t="n">
        <v>1.1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s="2" t="inlineStr"/>
    </row>
    <row r="183" ht="15" customHeight="1">
      <c r="A183" t="inlineStr">
        <is>
          <t>A 21932-2024</t>
        </is>
      </c>
      <c r="B183" t="inlineStr">
        <is>
          <t>avverkningsanmälan</t>
        </is>
      </c>
      <c r="C183" t="inlineStr">
        <is>
          <t>Föryngringsavverkning</t>
        </is>
      </c>
      <c r="D183" s="1" t="n">
        <v>45443</v>
      </c>
      <c r="E183" s="1" t="n">
        <v>46322</v>
      </c>
      <c r="F183" t="inlineStr">
        <is>
          <t>VÄSTRA GÖTALANDS LÄN</t>
        </is>
      </c>
      <c r="G183" t="inlineStr">
        <is>
          <t>VÅRGÅRDA</t>
        </is>
      </c>
      <c r="I183" t="n">
        <v>0.6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s="2" t="inlineStr"/>
    </row>
    <row r="184" ht="15" customHeight="1">
      <c r="A184" t="inlineStr">
        <is>
          <t>A 1262-2023</t>
        </is>
      </c>
      <c r="B184" t="inlineStr">
        <is>
          <t>avverkningsanmälan</t>
        </is>
      </c>
      <c r="C184" t="inlineStr">
        <is>
          <t>Föryngringsavverkning</t>
        </is>
      </c>
      <c r="D184" s="1" t="n">
        <v>44936</v>
      </c>
      <c r="E184" s="1" t="n">
        <v>46322</v>
      </c>
      <c r="F184" t="inlineStr">
        <is>
          <t>VÄSTRA GÖTALANDS LÄN</t>
        </is>
      </c>
      <c r="G184" t="inlineStr">
        <is>
          <t>VÅRGÅRDA</t>
        </is>
      </c>
      <c r="I184" t="n">
        <v>4.1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s="2" t="inlineStr"/>
    </row>
    <row r="185" ht="15" customHeight="1">
      <c r="A185" t="inlineStr">
        <is>
          <t>A 7535-2026</t>
        </is>
      </c>
      <c r="B185" t="inlineStr">
        <is>
          <t>avverkningsanmälan</t>
        </is>
      </c>
      <c r="C185" t="inlineStr">
        <is>
          <t>Föryngringsavverkning</t>
        </is>
      </c>
      <c r="D185" s="1" t="n">
        <v>46059</v>
      </c>
      <c r="E185" s="1" t="n">
        <v>46322</v>
      </c>
      <c r="F185" t="inlineStr">
        <is>
          <t>VÄSTRA GÖTALANDS LÄN</t>
        </is>
      </c>
      <c r="G185" t="inlineStr">
        <is>
          <t>VÅRGÅRDA</t>
        </is>
      </c>
      <c r="I185" t="n">
        <v>1.6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s="2" t="inlineStr"/>
    </row>
    <row r="186" ht="15" customHeight="1">
      <c r="A186" t="inlineStr">
        <is>
          <t>A 42646-2025</t>
        </is>
      </c>
      <c r="B186" t="inlineStr">
        <is>
          <t>avverkningsanmälan</t>
        </is>
      </c>
      <c r="C186" t="inlineStr">
        <is>
          <t>Föryngringsavverkning</t>
        </is>
      </c>
      <c r="D186" s="1" t="n">
        <v>45906</v>
      </c>
      <c r="E186" s="1" t="n">
        <v>46322</v>
      </c>
      <c r="F186" t="inlineStr">
        <is>
          <t>VÄSTRA GÖTALANDS LÄN</t>
        </is>
      </c>
      <c r="G186" t="inlineStr">
        <is>
          <t>VÅRGÅRDA</t>
        </is>
      </c>
      <c r="I186" t="n">
        <v>2.8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s="2" t="inlineStr"/>
    </row>
    <row r="187" ht="15" customHeight="1">
      <c r="A187" t="inlineStr">
        <is>
          <t>A 7529-2026</t>
        </is>
      </c>
      <c r="B187" t="inlineStr">
        <is>
          <t>avverkningsanmälan</t>
        </is>
      </c>
      <c r="C187" t="inlineStr">
        <is>
          <t>Föryngringsavverkning</t>
        </is>
      </c>
      <c r="D187" s="1" t="n">
        <v>46059</v>
      </c>
      <c r="E187" s="1" t="n">
        <v>46322</v>
      </c>
      <c r="F187" t="inlineStr">
        <is>
          <t>VÄSTRA GÖTALANDS LÄN</t>
        </is>
      </c>
      <c r="G187" t="inlineStr">
        <is>
          <t>VÅRGÅRDA</t>
        </is>
      </c>
      <c r="I187" t="n">
        <v>1.8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s="2" t="inlineStr"/>
    </row>
    <row r="188" ht="15" customHeight="1">
      <c r="A188" t="inlineStr">
        <is>
          <t>A 28482-2026</t>
        </is>
      </c>
      <c r="B188" t="inlineStr">
        <is>
          <t>avverkningsanmälan</t>
        </is>
      </c>
      <c r="C188" t="inlineStr">
        <is>
          <t>Föryngringsavverkning</t>
        </is>
      </c>
      <c r="D188" s="1" t="n">
        <v>46197</v>
      </c>
      <c r="E188" s="1" t="n">
        <v>46322</v>
      </c>
      <c r="F188" t="inlineStr">
        <is>
          <t>VÄSTRA GÖTALANDS LÄN</t>
        </is>
      </c>
      <c r="G188" t="inlineStr">
        <is>
          <t>VÅRGÅRDA</t>
        </is>
      </c>
      <c r="I188" t="n">
        <v>3.9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s="2" t="inlineStr"/>
    </row>
    <row r="189" ht="15" customHeight="1">
      <c r="A189" t="inlineStr">
        <is>
          <t>A 30671-2026</t>
        </is>
      </c>
      <c r="B189" t="inlineStr">
        <is>
          <t>avverkningsanmälan</t>
        </is>
      </c>
      <c r="C189" t="inlineStr">
        <is>
          <t>Föryngringsavverkning</t>
        </is>
      </c>
      <c r="D189" s="1" t="n">
        <v>46211</v>
      </c>
      <c r="E189" s="1" t="n">
        <v>46322</v>
      </c>
      <c r="F189" t="inlineStr">
        <is>
          <t>VÄSTRA GÖTALANDS LÄN</t>
        </is>
      </c>
      <c r="G189" t="inlineStr">
        <is>
          <t>VÅRGÅRDA</t>
        </is>
      </c>
      <c r="I189" t="n">
        <v>1.9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s="2" t="inlineStr"/>
    </row>
    <row r="190" ht="15" customHeight="1">
      <c r="A190" t="inlineStr">
        <is>
          <t>A 8372-2026</t>
        </is>
      </c>
      <c r="B190" t="inlineStr">
        <is>
          <t>avverkningsanmälan</t>
        </is>
      </c>
      <c r="C190" t="inlineStr">
        <is>
          <t>Föryngringsavverkning</t>
        </is>
      </c>
      <c r="D190" s="1" t="n">
        <v>46064</v>
      </c>
      <c r="E190" s="1" t="n">
        <v>46322</v>
      </c>
      <c r="F190" t="inlineStr">
        <is>
          <t>VÄSTRA GÖTALANDS LÄN</t>
        </is>
      </c>
      <c r="G190" t="inlineStr">
        <is>
          <t>VÅRGÅRDA</t>
        </is>
      </c>
      <c r="I190" t="n">
        <v>1.3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s="2" t="inlineStr"/>
    </row>
    <row r="191" ht="15" customHeight="1">
      <c r="A191" t="inlineStr">
        <is>
          <t>A 2917-2023</t>
        </is>
      </c>
      <c r="B191" t="inlineStr">
        <is>
          <t>avverkningsanmälan</t>
        </is>
      </c>
      <c r="C191" t="inlineStr">
        <is>
          <t>Avverkning för annat ändamål</t>
        </is>
      </c>
      <c r="D191" s="1" t="n">
        <v>44943</v>
      </c>
      <c r="E191" s="1" t="n">
        <v>46322</v>
      </c>
      <c r="F191" t="inlineStr">
        <is>
          <t>VÄSTRA GÖTALANDS LÄN</t>
        </is>
      </c>
      <c r="G191" t="inlineStr">
        <is>
          <t>VÅRGÅRDA</t>
        </is>
      </c>
      <c r="I191" t="n">
        <v>2.2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s="2" t="inlineStr"/>
    </row>
    <row r="192" ht="15" customHeight="1">
      <c r="A192" t="inlineStr">
        <is>
          <t>A 8659-2026</t>
        </is>
      </c>
      <c r="B192" t="inlineStr">
        <is>
          <t>avverkningsanmälan</t>
        </is>
      </c>
      <c r="C192" t="inlineStr">
        <is>
          <t>Föryngringsavverkning</t>
        </is>
      </c>
      <c r="D192" s="1" t="n">
        <v>46066</v>
      </c>
      <c r="E192" s="1" t="n">
        <v>46322</v>
      </c>
      <c r="F192" t="inlineStr">
        <is>
          <t>VÄSTRA GÖTALANDS LÄN</t>
        </is>
      </c>
      <c r="G192" t="inlineStr">
        <is>
          <t>VÅRGÅRDA</t>
        </is>
      </c>
      <c r="I192" t="n">
        <v>0.9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s="2" t="inlineStr"/>
    </row>
    <row r="193" ht="15" customHeight="1">
      <c r="A193" t="inlineStr">
        <is>
          <t>A 9261-2026</t>
        </is>
      </c>
      <c r="B193" t="inlineStr">
        <is>
          <t>avverkningsanmälan</t>
        </is>
      </c>
      <c r="C193" t="inlineStr">
        <is>
          <t>Avverkning för att bevara och utveckla /försöksver</t>
        </is>
      </c>
      <c r="D193" s="1" t="n">
        <v>46070</v>
      </c>
      <c r="E193" s="1" t="n">
        <v>46322</v>
      </c>
      <c r="F193" t="inlineStr">
        <is>
          <t>VÄSTRA GÖTALANDS LÄN</t>
        </is>
      </c>
      <c r="G193" t="inlineStr">
        <is>
          <t>VÅRGÅRDA</t>
        </is>
      </c>
      <c r="I193" t="n">
        <v>2.1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s="2" t="inlineStr"/>
    </row>
    <row r="194" ht="15" customHeight="1">
      <c r="A194" t="inlineStr">
        <is>
          <t>A 9305-2026</t>
        </is>
      </c>
      <c r="B194" t="inlineStr">
        <is>
          <t>avverkningsanmälan</t>
        </is>
      </c>
      <c r="C194" t="inlineStr">
        <is>
          <t>Avverkning för att bevara och utveckla /försöksver</t>
        </is>
      </c>
      <c r="D194" s="1" t="n">
        <v>46070</v>
      </c>
      <c r="E194" s="1" t="n">
        <v>46322</v>
      </c>
      <c r="F194" t="inlineStr">
        <is>
          <t>VÄSTRA GÖTALANDS LÄN</t>
        </is>
      </c>
      <c r="G194" t="inlineStr">
        <is>
          <t>VÅRGÅRDA</t>
        </is>
      </c>
      <c r="I194" t="n">
        <v>0.5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s="2" t="inlineStr"/>
    </row>
    <row r="195" ht="15" customHeight="1">
      <c r="A195" t="inlineStr">
        <is>
          <t>A 9297-2026</t>
        </is>
      </c>
      <c r="B195" t="inlineStr">
        <is>
          <t>avverkningsanmälan</t>
        </is>
      </c>
      <c r="C195" t="inlineStr">
        <is>
          <t>Avverkning för att bevara och utveckla /försöksver</t>
        </is>
      </c>
      <c r="D195" s="1" t="n">
        <v>46070</v>
      </c>
      <c r="E195" s="1" t="n">
        <v>46322</v>
      </c>
      <c r="F195" t="inlineStr">
        <is>
          <t>VÄSTRA GÖTALANDS LÄN</t>
        </is>
      </c>
      <c r="G195" t="inlineStr">
        <is>
          <t>VÅRGÅRDA</t>
        </is>
      </c>
      <c r="I195" t="n">
        <v>0.9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s="2" t="inlineStr"/>
    </row>
    <row r="196" ht="15" customHeight="1">
      <c r="A196" t="inlineStr">
        <is>
          <t>A 33939-2023</t>
        </is>
      </c>
      <c r="B196" t="inlineStr">
        <is>
          <t>avverkningsanmälan</t>
        </is>
      </c>
      <c r="C196" t="inlineStr">
        <is>
          <t>Föryngringsavverkning</t>
        </is>
      </c>
      <c r="D196" s="1" t="n">
        <v>45134</v>
      </c>
      <c r="E196" s="1" t="n">
        <v>46322</v>
      </c>
      <c r="F196" t="inlineStr">
        <is>
          <t>VÄSTRA GÖTALANDS LÄN</t>
        </is>
      </c>
      <c r="G196" t="inlineStr">
        <is>
          <t>VÅRGÅRDA</t>
        </is>
      </c>
      <c r="I196" t="n">
        <v>0.7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s="2" t="inlineStr"/>
    </row>
    <row r="197" ht="15" customHeight="1">
      <c r="A197" t="inlineStr">
        <is>
          <t>A 19391-2024</t>
        </is>
      </c>
      <c r="B197" t="inlineStr">
        <is>
          <t>avverkningsanmälan</t>
        </is>
      </c>
      <c r="C197" t="inlineStr">
        <is>
          <t>Föryngringsavverkning</t>
        </is>
      </c>
      <c r="D197" s="1" t="n">
        <v>45429</v>
      </c>
      <c r="E197" s="1" t="n">
        <v>46322</v>
      </c>
      <c r="F197" t="inlineStr">
        <is>
          <t>VÄSTRA GÖTALANDS LÄN</t>
        </is>
      </c>
      <c r="G197" t="inlineStr">
        <is>
          <t>VÅRGÅRDA</t>
        </is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s="2" t="inlineStr"/>
    </row>
    <row r="198" ht="15" customHeight="1">
      <c r="A198" t="inlineStr">
        <is>
          <t>A 19394-2024</t>
        </is>
      </c>
      <c r="B198" t="inlineStr">
        <is>
          <t>avverkningsanmälan</t>
        </is>
      </c>
      <c r="C198" t="inlineStr">
        <is>
          <t>Föryngringsavverkning</t>
        </is>
      </c>
      <c r="D198" s="1" t="n">
        <v>45429</v>
      </c>
      <c r="E198" s="1" t="n">
        <v>46322</v>
      </c>
      <c r="F198" t="inlineStr">
        <is>
          <t>VÄSTRA GÖTALANDS LÄN</t>
        </is>
      </c>
      <c r="G198" t="inlineStr">
        <is>
          <t>VÅRGÅRDA</t>
        </is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s="2" t="inlineStr"/>
    </row>
    <row r="199" ht="15" customHeight="1">
      <c r="A199" t="inlineStr">
        <is>
          <t>A 9301-2026</t>
        </is>
      </c>
      <c r="B199" t="inlineStr">
        <is>
          <t>avverkningsanmälan</t>
        </is>
      </c>
      <c r="C199" t="inlineStr">
        <is>
          <t>Avverkning för att bevara och utveckla /försöksver</t>
        </is>
      </c>
      <c r="D199" s="1" t="n">
        <v>46070</v>
      </c>
      <c r="E199" s="1" t="n">
        <v>46322</v>
      </c>
      <c r="F199" t="inlineStr">
        <is>
          <t>VÄSTRA GÖTALANDS LÄN</t>
        </is>
      </c>
      <c r="G199" t="inlineStr">
        <is>
          <t>VÅRGÅRDA</t>
        </is>
      </c>
      <c r="I199" t="n">
        <v>0.8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s="2" t="inlineStr"/>
    </row>
    <row r="200" ht="15" customHeight="1">
      <c r="A200" t="inlineStr">
        <is>
          <t>A 59381-2022</t>
        </is>
      </c>
      <c r="B200" t="inlineStr">
        <is>
          <t>avverkningsanmälan</t>
        </is>
      </c>
      <c r="C200" t="inlineStr">
        <is>
          <t>Avverkning för att bevara och utveckla /försöksver</t>
        </is>
      </c>
      <c r="D200" s="1" t="n">
        <v>44905</v>
      </c>
      <c r="E200" s="1" t="n">
        <v>46322</v>
      </c>
      <c r="F200" t="inlineStr">
        <is>
          <t>VÄSTRA GÖTALANDS LÄN</t>
        </is>
      </c>
      <c r="G200" t="inlineStr">
        <is>
          <t>VÅRGÅRDA</t>
        </is>
      </c>
      <c r="I200" t="n">
        <v>1.3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s="2" t="inlineStr"/>
    </row>
    <row r="201" ht="15" customHeight="1">
      <c r="A201" t="inlineStr">
        <is>
          <t>A 20169-2025</t>
        </is>
      </c>
      <c r="B201" t="inlineStr">
        <is>
          <t>avverkningsanmälan</t>
        </is>
      </c>
      <c r="C201" t="inlineStr">
        <is>
          <t>Föryngringsavverkning</t>
        </is>
      </c>
      <c r="D201" s="1" t="n">
        <v>45772</v>
      </c>
      <c r="E201" s="1" t="n">
        <v>46322</v>
      </c>
      <c r="F201" t="inlineStr">
        <is>
          <t>VÄSTRA GÖTALANDS LÄN</t>
        </is>
      </c>
      <c r="G201" t="inlineStr">
        <is>
          <t>VÅRGÅRDA</t>
        </is>
      </c>
      <c r="I201" t="n">
        <v>2.1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s="2" t="inlineStr"/>
    </row>
    <row r="202" ht="15" customHeight="1">
      <c r="A202" t="inlineStr">
        <is>
          <t>A 17983-2026</t>
        </is>
      </c>
      <c r="B202" t="inlineStr">
        <is>
          <t>avverkningsanmälan</t>
        </is>
      </c>
      <c r="C202" t="inlineStr">
        <is>
          <t>Föryngringsavverkning</t>
        </is>
      </c>
      <c r="D202" s="1" t="n">
        <v>46124</v>
      </c>
      <c r="E202" s="1" t="n">
        <v>46322</v>
      </c>
      <c r="F202" t="inlineStr">
        <is>
          <t>VÄSTRA GÖTALANDS LÄN</t>
        </is>
      </c>
      <c r="G202" t="inlineStr">
        <is>
          <t>VÅRGÅRDA</t>
        </is>
      </c>
      <c r="I202" t="n">
        <v>0.7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s="2" t="inlineStr"/>
    </row>
    <row r="203" ht="15" customHeight="1">
      <c r="A203" t="inlineStr">
        <is>
          <t>A 17199-2025</t>
        </is>
      </c>
      <c r="B203" t="inlineStr">
        <is>
          <t>avverkningsanmälan</t>
        </is>
      </c>
      <c r="C203" t="inlineStr">
        <is>
          <t>Föryngringsavverkning</t>
        </is>
      </c>
      <c r="D203" s="1" t="n">
        <v>45756</v>
      </c>
      <c r="E203" s="1" t="n">
        <v>46322</v>
      </c>
      <c r="F203" t="inlineStr">
        <is>
          <t>VÄSTRA GÖTALANDS LÄN</t>
        </is>
      </c>
      <c r="G203" t="inlineStr">
        <is>
          <t>VÅRGÅRDA</t>
        </is>
      </c>
      <c r="I203" t="n">
        <v>0.7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s="2" t="inlineStr"/>
    </row>
    <row r="204" ht="15" customHeight="1">
      <c r="A204" t="inlineStr">
        <is>
          <t>A 9721-2023</t>
        </is>
      </c>
      <c r="B204" t="inlineStr">
        <is>
          <t>avverkningsanmälan</t>
        </is>
      </c>
      <c r="C204" t="inlineStr">
        <is>
          <t>Föryngringsavverkning</t>
        </is>
      </c>
      <c r="D204" s="1" t="n">
        <v>44984</v>
      </c>
      <c r="E204" s="1" t="n">
        <v>46322</v>
      </c>
      <c r="F204" t="inlineStr">
        <is>
          <t>VÄSTRA GÖTALANDS LÄN</t>
        </is>
      </c>
      <c r="G204" t="inlineStr">
        <is>
          <t>VÅRGÅRDA</t>
        </is>
      </c>
      <c r="I204" t="n">
        <v>1.7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s="2" t="inlineStr"/>
    </row>
    <row r="205" ht="15" customHeight="1">
      <c r="A205" t="inlineStr">
        <is>
          <t>A 10586-2024</t>
        </is>
      </c>
      <c r="B205" t="inlineStr">
        <is>
          <t>avverkningsanmälan</t>
        </is>
      </c>
      <c r="C205" t="inlineStr">
        <is>
          <t>Föryngringsavverkning</t>
        </is>
      </c>
      <c r="D205" s="1" t="n">
        <v>45366</v>
      </c>
      <c r="E205" s="1" t="n">
        <v>46322</v>
      </c>
      <c r="F205" t="inlineStr">
        <is>
          <t>VÄSTRA GÖTALANDS LÄN</t>
        </is>
      </c>
      <c r="G205" t="inlineStr">
        <is>
          <t>VÅRGÅRDA</t>
        </is>
      </c>
      <c r="I205" t="n">
        <v>1.4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s="2" t="inlineStr"/>
    </row>
    <row r="206" ht="15" customHeight="1">
      <c r="A206" t="inlineStr">
        <is>
          <t>A 12173-2026</t>
        </is>
      </c>
      <c r="B206" t="inlineStr">
        <is>
          <t>avverkningsanmälan</t>
        </is>
      </c>
      <c r="C206" t="inlineStr">
        <is>
          <t>Föryngringsavverkning</t>
        </is>
      </c>
      <c r="D206" s="1" t="n">
        <v>46086</v>
      </c>
      <c r="E206" s="1" t="n">
        <v>46322</v>
      </c>
      <c r="F206" t="inlineStr">
        <is>
          <t>VÄSTRA GÖTALANDS LÄN</t>
        </is>
      </c>
      <c r="G206" t="inlineStr">
        <is>
          <t>VÅRGÅRDA</t>
        </is>
      </c>
      <c r="I206" t="n">
        <v>0.9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s="2" t="inlineStr"/>
    </row>
    <row r="207" ht="15" customHeight="1">
      <c r="A207" t="inlineStr">
        <is>
          <t>A 11869-2026</t>
        </is>
      </c>
      <c r="B207" t="inlineStr">
        <is>
          <t>avverkningsanmälan</t>
        </is>
      </c>
      <c r="C207" t="inlineStr">
        <is>
          <t>Föryngringsavverkning</t>
        </is>
      </c>
      <c r="D207" s="1" t="n">
        <v>46085</v>
      </c>
      <c r="E207" s="1" t="n">
        <v>46322</v>
      </c>
      <c r="F207" t="inlineStr">
        <is>
          <t>VÄSTRA GÖTALANDS LÄN</t>
        </is>
      </c>
      <c r="G207" t="inlineStr">
        <is>
          <t>VÅRGÅRDA</t>
        </is>
      </c>
      <c r="I207" t="n">
        <v>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s="2" t="inlineStr"/>
    </row>
    <row r="208" ht="15" customHeight="1">
      <c r="A208" t="inlineStr">
        <is>
          <t>A 29092-2023</t>
        </is>
      </c>
      <c r="B208" t="inlineStr">
        <is>
          <t>avverkningsanmälan</t>
        </is>
      </c>
      <c r="C208" t="inlineStr">
        <is>
          <t>Föryngringsavverkning</t>
        </is>
      </c>
      <c r="D208" s="1" t="n">
        <v>45105</v>
      </c>
      <c r="E208" s="1" t="n">
        <v>46322</v>
      </c>
      <c r="F208" t="inlineStr">
        <is>
          <t>VÄSTRA GÖTALANDS LÄN</t>
        </is>
      </c>
      <c r="G208" t="inlineStr">
        <is>
          <t>VÅRGÅRDA</t>
        </is>
      </c>
      <c r="H208" t="inlineStr">
        <is>
          <t>Kommuner</t>
        </is>
      </c>
      <c r="I208" t="n">
        <v>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s="2" t="inlineStr"/>
    </row>
    <row r="209" ht="15" customHeight="1">
      <c r="A209" t="inlineStr">
        <is>
          <t>A 12665-2026</t>
        </is>
      </c>
      <c r="B209" t="inlineStr">
        <is>
          <t>avverkningsanmälan</t>
        </is>
      </c>
      <c r="C209" t="inlineStr">
        <is>
          <t>Föryngringsavverkning</t>
        </is>
      </c>
      <c r="D209" s="1" t="n">
        <v>46091</v>
      </c>
      <c r="E209" s="1" t="n">
        <v>46322</v>
      </c>
      <c r="F209" t="inlineStr">
        <is>
          <t>VÄSTRA GÖTALANDS LÄN</t>
        </is>
      </c>
      <c r="G209" t="inlineStr">
        <is>
          <t>VÅRGÅRDA</t>
        </is>
      </c>
      <c r="H209" t="inlineStr">
        <is>
          <t>Sveaskog</t>
        </is>
      </c>
      <c r="I209" t="n">
        <v>11.4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s="2" t="inlineStr"/>
    </row>
    <row r="210" ht="15" customHeight="1">
      <c r="A210" t="inlineStr">
        <is>
          <t>A 24611-2023</t>
        </is>
      </c>
      <c r="B210" t="inlineStr">
        <is>
          <t>avverkningsanmälan</t>
        </is>
      </c>
      <c r="C210" t="inlineStr">
        <is>
          <t>Föryngringsavverkning</t>
        </is>
      </c>
      <c r="D210" s="1" t="n">
        <v>45084</v>
      </c>
      <c r="E210" s="1" t="n">
        <v>46322</v>
      </c>
      <c r="F210" t="inlineStr">
        <is>
          <t>VÄSTRA GÖTALANDS LÄN</t>
        </is>
      </c>
      <c r="G210" t="inlineStr">
        <is>
          <t>VÅRGÅRDA</t>
        </is>
      </c>
      <c r="I210" t="n">
        <v>0.9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s="2" t="inlineStr"/>
    </row>
    <row r="211" ht="15" customHeight="1">
      <c r="A211" t="inlineStr">
        <is>
          <t>A 62148-2022</t>
        </is>
      </c>
      <c r="B211" t="inlineStr">
        <is>
          <t>avverkningsanmälan</t>
        </is>
      </c>
      <c r="C211" t="inlineStr">
        <is>
          <t>Föryngringsavverkning</t>
        </is>
      </c>
      <c r="D211" s="1" t="n">
        <v>44922</v>
      </c>
      <c r="E211" s="1" t="n">
        <v>46322</v>
      </c>
      <c r="F211" t="inlineStr">
        <is>
          <t>VÄSTRA GÖTALANDS LÄN</t>
        </is>
      </c>
      <c r="G211" t="inlineStr">
        <is>
          <t>VÅRGÅRDA</t>
        </is>
      </c>
      <c r="I211" t="n">
        <v>1.2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s="2" t="inlineStr"/>
    </row>
    <row r="212" ht="15" customHeight="1">
      <c r="A212" t="inlineStr">
        <is>
          <t>A 38111-2026</t>
        </is>
      </c>
      <c r="B212" t="inlineStr">
        <is>
          <t>avverkningsanmälan</t>
        </is>
      </c>
      <c r="C212" t="inlineStr">
        <is>
          <t>Föryngringsavverkning</t>
        </is>
      </c>
      <c r="D212" s="1" t="n">
        <v>46281</v>
      </c>
      <c r="E212" s="1" t="n">
        <v>46322</v>
      </c>
      <c r="F212" t="inlineStr">
        <is>
          <t>VÄSTRA GÖTALANDS LÄN</t>
        </is>
      </c>
      <c r="G212" t="inlineStr">
        <is>
          <t>VÅRGÅRDA</t>
        </is>
      </c>
      <c r="I212" t="n">
        <v>3.2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s="2" t="inlineStr"/>
    </row>
    <row r="213" ht="15" customHeight="1">
      <c r="A213" t="inlineStr">
        <is>
          <t>A 57902-2022</t>
        </is>
      </c>
      <c r="B213" t="inlineStr">
        <is>
          <t>avverkningsanmälan</t>
        </is>
      </c>
      <c r="C213" t="inlineStr">
        <is>
          <t>Föryngringsavverkning</t>
        </is>
      </c>
      <c r="D213" s="1" t="n">
        <v>44900</v>
      </c>
      <c r="E213" s="1" t="n">
        <v>46322</v>
      </c>
      <c r="F213" t="inlineStr">
        <is>
          <t>VÄSTRA GÖTALANDS LÄN</t>
        </is>
      </c>
      <c r="G213" t="inlineStr">
        <is>
          <t>VÅRGÅRDA</t>
        </is>
      </c>
      <c r="I213" t="n">
        <v>1.3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s="2" t="inlineStr"/>
    </row>
    <row r="214" ht="15" customHeight="1">
      <c r="A214" t="inlineStr">
        <is>
          <t>A 3619-2023</t>
        </is>
      </c>
      <c r="B214" t="inlineStr">
        <is>
          <t>avverkningsanmälan</t>
        </is>
      </c>
      <c r="C214" t="inlineStr">
        <is>
          <t>Föryngringsavverkning</t>
        </is>
      </c>
      <c r="D214" s="1" t="n">
        <v>44950</v>
      </c>
      <c r="E214" s="1" t="n">
        <v>46322</v>
      </c>
      <c r="F214" t="inlineStr">
        <is>
          <t>VÄSTRA GÖTALANDS LÄN</t>
        </is>
      </c>
      <c r="G214" t="inlineStr">
        <is>
          <t>VÅRGÅRDA</t>
        </is>
      </c>
      <c r="I214" t="n">
        <v>2.1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s="2" t="inlineStr"/>
    </row>
    <row r="215" ht="15" customHeight="1">
      <c r="A215" t="inlineStr">
        <is>
          <t>A 3756-2023</t>
        </is>
      </c>
      <c r="B215" t="inlineStr">
        <is>
          <t>avverkningsanmälan</t>
        </is>
      </c>
      <c r="C215" t="inlineStr">
        <is>
          <t>Föryngringsavverkning</t>
        </is>
      </c>
      <c r="D215" s="1" t="n">
        <v>44951</v>
      </c>
      <c r="E215" s="1" t="n">
        <v>46322</v>
      </c>
      <c r="F215" t="inlineStr">
        <is>
          <t>VÄSTRA GÖTALANDS LÄN</t>
        </is>
      </c>
      <c r="G215" t="inlineStr">
        <is>
          <t>VÅRGÅRDA</t>
        </is>
      </c>
      <c r="I215" t="n">
        <v>5.2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s="2" t="inlineStr"/>
    </row>
    <row r="216" ht="15" customHeight="1">
      <c r="A216" t="inlineStr">
        <is>
          <t>A 11484-2025</t>
        </is>
      </c>
      <c r="B216" t="inlineStr">
        <is>
          <t>avverkningsanmälan</t>
        </is>
      </c>
      <c r="C216" t="inlineStr">
        <is>
          <t>Föryngringsavverkning</t>
        </is>
      </c>
      <c r="D216" s="1" t="n">
        <v>45726</v>
      </c>
      <c r="E216" s="1" t="n">
        <v>46322</v>
      </c>
      <c r="F216" t="inlineStr">
        <is>
          <t>VÄSTRA GÖTALANDS LÄN</t>
        </is>
      </c>
      <c r="G216" t="inlineStr">
        <is>
          <t>VÅRGÅRDA</t>
        </is>
      </c>
      <c r="I216" t="n">
        <v>0.5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s="2" t="inlineStr"/>
    </row>
    <row r="217" ht="15" customHeight="1">
      <c r="A217" t="inlineStr">
        <is>
          <t>A 15421-2024</t>
        </is>
      </c>
      <c r="B217" t="inlineStr">
        <is>
          <t>avverkningsanmälan</t>
        </is>
      </c>
      <c r="C217" t="inlineStr">
        <is>
          <t>Föryngringsavverkning</t>
        </is>
      </c>
      <c r="D217" s="1" t="n">
        <v>45401</v>
      </c>
      <c r="E217" s="1" t="n">
        <v>46322</v>
      </c>
      <c r="F217" t="inlineStr">
        <is>
          <t>VÄSTRA GÖTALANDS LÄN</t>
        </is>
      </c>
      <c r="G217" t="inlineStr">
        <is>
          <t>VÅRGÅRDA</t>
        </is>
      </c>
      <c r="I217" t="n">
        <v>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s="2" t="inlineStr"/>
    </row>
    <row r="218" ht="15" customHeight="1">
      <c r="A218" t="inlineStr">
        <is>
          <t>A 6003-2023</t>
        </is>
      </c>
      <c r="B218" t="inlineStr">
        <is>
          <t>avverkningsanmälan</t>
        </is>
      </c>
      <c r="C218" t="inlineStr">
        <is>
          <t>Föryngringsavverkning</t>
        </is>
      </c>
      <c r="D218" s="1" t="n">
        <v>44964</v>
      </c>
      <c r="E218" s="1" t="n">
        <v>46322</v>
      </c>
      <c r="F218" t="inlineStr">
        <is>
          <t>VÄSTRA GÖTALANDS LÄN</t>
        </is>
      </c>
      <c r="G218" t="inlineStr">
        <is>
          <t>VÅRGÅRDA</t>
        </is>
      </c>
      <c r="H218" t="inlineStr">
        <is>
          <t>Sveaskog</t>
        </is>
      </c>
      <c r="I218" t="n">
        <v>2.9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s="2" t="inlineStr"/>
    </row>
    <row r="219" ht="15" customHeight="1">
      <c r="A219" t="inlineStr">
        <is>
          <t>A 14669-2026</t>
        </is>
      </c>
      <c r="B219" t="inlineStr">
        <is>
          <t>avverkningsanmälan</t>
        </is>
      </c>
      <c r="C219" t="inlineStr">
        <is>
          <t>Föryngringsavverkning</t>
        </is>
      </c>
      <c r="D219" s="1" t="n">
        <v>46101</v>
      </c>
      <c r="E219" s="1" t="n">
        <v>46322</v>
      </c>
      <c r="F219" t="inlineStr">
        <is>
          <t>VÄSTRA GÖTALANDS LÄN</t>
        </is>
      </c>
      <c r="G219" t="inlineStr">
        <is>
          <t>VÅRGÅRDA</t>
        </is>
      </c>
      <c r="I219" t="n">
        <v>0.5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s="2" t="inlineStr"/>
    </row>
    <row r="220" ht="15" customHeight="1">
      <c r="A220" t="inlineStr">
        <is>
          <t>A 57860-2023</t>
        </is>
      </c>
      <c r="B220" t="inlineStr">
        <is>
          <t>avverkningsanmälan</t>
        </is>
      </c>
      <c r="C220" t="inlineStr">
        <is>
          <t>Föryngringsavverkning</t>
        </is>
      </c>
      <c r="D220" s="1" t="n">
        <v>45247</v>
      </c>
      <c r="E220" s="1" t="n">
        <v>46322</v>
      </c>
      <c r="F220" t="inlineStr">
        <is>
          <t>VÄSTRA GÖTALANDS LÄN</t>
        </is>
      </c>
      <c r="G220" t="inlineStr">
        <is>
          <t>VÅRGÅRDA</t>
        </is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s="2" t="inlineStr"/>
    </row>
    <row r="221" ht="15" customHeight="1">
      <c r="A221" t="inlineStr">
        <is>
          <t>A 9642-2025</t>
        </is>
      </c>
      <c r="B221" t="inlineStr">
        <is>
          <t>avverkningsanmälan</t>
        </is>
      </c>
      <c r="C221" t="inlineStr">
        <is>
          <t>Föryngringsavverkning</t>
        </is>
      </c>
      <c r="D221" s="1" t="n">
        <v>45715</v>
      </c>
      <c r="E221" s="1" t="n">
        <v>46322</v>
      </c>
      <c r="F221" t="inlineStr">
        <is>
          <t>VÄSTRA GÖTALANDS LÄN</t>
        </is>
      </c>
      <c r="G221" t="inlineStr">
        <is>
          <t>VÅRGÅRDA</t>
        </is>
      </c>
      <c r="I221" t="n">
        <v>1.2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s="2" t="inlineStr"/>
    </row>
    <row r="222" ht="15" customHeight="1">
      <c r="A222" t="inlineStr">
        <is>
          <t>A 15380-2026</t>
        </is>
      </c>
      <c r="B222" t="inlineStr">
        <is>
          <t>avverkningsanmälan</t>
        </is>
      </c>
      <c r="C222" t="inlineStr">
        <is>
          <t>Föryngringsavverkning</t>
        </is>
      </c>
      <c r="D222" s="1" t="n">
        <v>46106</v>
      </c>
      <c r="E222" s="1" t="n">
        <v>46322</v>
      </c>
      <c r="F222" t="inlineStr">
        <is>
          <t>VÄSTRA GÖTALANDS LÄN</t>
        </is>
      </c>
      <c r="G222" t="inlineStr">
        <is>
          <t>VÅRGÅRDA</t>
        </is>
      </c>
      <c r="I222" t="n">
        <v>0.8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s="2" t="inlineStr"/>
    </row>
    <row r="223" ht="15" customHeight="1">
      <c r="A223" t="inlineStr">
        <is>
          <t>A 5152-2024</t>
        </is>
      </c>
      <c r="B223" t="inlineStr">
        <is>
          <t>avverkningsanmälan</t>
        </is>
      </c>
      <c r="C223" t="inlineStr">
        <is>
          <t>Föryngringsavverkning</t>
        </is>
      </c>
      <c r="D223" s="1" t="n">
        <v>45330</v>
      </c>
      <c r="E223" s="1" t="n">
        <v>46322</v>
      </c>
      <c r="F223" t="inlineStr">
        <is>
          <t>VÄSTRA GÖTALANDS LÄN</t>
        </is>
      </c>
      <c r="G223" t="inlineStr">
        <is>
          <t>VÅRGÅRDA</t>
        </is>
      </c>
      <c r="I223" t="n">
        <v>0.7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s="2" t="inlineStr"/>
    </row>
    <row r="224" ht="15" customHeight="1">
      <c r="A224" t="inlineStr">
        <is>
          <t>A 14787-2024</t>
        </is>
      </c>
      <c r="B224" t="inlineStr">
        <is>
          <t>avverkningsanmälan</t>
        </is>
      </c>
      <c r="C224" t="inlineStr">
        <is>
          <t>Föryngringsavverkning</t>
        </is>
      </c>
      <c r="D224" s="1" t="n">
        <v>45397</v>
      </c>
      <c r="E224" s="1" t="n">
        <v>46322</v>
      </c>
      <c r="F224" t="inlineStr">
        <is>
          <t>VÄSTRA GÖTALANDS LÄN</t>
        </is>
      </c>
      <c r="G224" t="inlineStr">
        <is>
          <t>VÅRGÅRDA</t>
        </is>
      </c>
      <c r="I224" t="n">
        <v>0.7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s="2" t="inlineStr"/>
    </row>
    <row r="225" ht="15" customHeight="1">
      <c r="A225" t="inlineStr">
        <is>
          <t>A 14789-2024</t>
        </is>
      </c>
      <c r="B225" t="inlineStr">
        <is>
          <t>avverkningsanmälan</t>
        </is>
      </c>
      <c r="C225" t="inlineStr">
        <is>
          <t>Föryngringsavverkning</t>
        </is>
      </c>
      <c r="D225" s="1" t="n">
        <v>45397</v>
      </c>
      <c r="E225" s="1" t="n">
        <v>46322</v>
      </c>
      <c r="F225" t="inlineStr">
        <is>
          <t>VÄSTRA GÖTALANDS LÄN</t>
        </is>
      </c>
      <c r="G225" t="inlineStr">
        <is>
          <t>VÅRGÅRDA</t>
        </is>
      </c>
      <c r="I225" t="n">
        <v>1.1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s="2" t="inlineStr"/>
    </row>
    <row r="226" ht="15" customHeight="1">
      <c r="A226" t="inlineStr">
        <is>
          <t>A 17057-2026</t>
        </is>
      </c>
      <c r="B226" t="inlineStr">
        <is>
          <t>avverkningsanmälan</t>
        </is>
      </c>
      <c r="C226" t="inlineStr">
        <is>
          <t>Föryngringsavverkning</t>
        </is>
      </c>
      <c r="D226" s="1" t="n">
        <v>46114</v>
      </c>
      <c r="E226" s="1" t="n">
        <v>46322</v>
      </c>
      <c r="F226" t="inlineStr">
        <is>
          <t>VÄSTRA GÖTALANDS LÄN</t>
        </is>
      </c>
      <c r="G226" t="inlineStr">
        <is>
          <t>VÅRGÅRDA</t>
        </is>
      </c>
      <c r="H226" t="inlineStr">
        <is>
          <t>Sveaskog</t>
        </is>
      </c>
      <c r="I226" t="n">
        <v>4.5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s="2" t="inlineStr"/>
    </row>
    <row r="227" ht="15" customHeight="1">
      <c r="A227" t="inlineStr">
        <is>
          <t>A 17058-2026</t>
        </is>
      </c>
      <c r="B227" t="inlineStr">
        <is>
          <t>avverkningsanmälan</t>
        </is>
      </c>
      <c r="C227" t="inlineStr">
        <is>
          <t>Föryngringsavverkning</t>
        </is>
      </c>
      <c r="D227" s="1" t="n">
        <v>46114</v>
      </c>
      <c r="E227" s="1" t="n">
        <v>46322</v>
      </c>
      <c r="F227" t="inlineStr">
        <is>
          <t>VÄSTRA GÖTALANDS LÄN</t>
        </is>
      </c>
      <c r="G227" t="inlineStr">
        <is>
          <t>VÅRGÅRDA</t>
        </is>
      </c>
      <c r="H227" t="inlineStr">
        <is>
          <t>Sveaskog</t>
        </is>
      </c>
      <c r="I227" t="n">
        <v>2.7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s="2" t="inlineStr"/>
    </row>
    <row r="228" ht="15" customHeight="1">
      <c r="A228" t="inlineStr">
        <is>
          <t>A 49751-2023</t>
        </is>
      </c>
      <c r="B228" t="inlineStr">
        <is>
          <t>avverkningsanmälan</t>
        </is>
      </c>
      <c r="C228" t="inlineStr">
        <is>
          <t>Föryngringsavverkning</t>
        </is>
      </c>
      <c r="D228" s="1" t="n">
        <v>45212</v>
      </c>
      <c r="E228" s="1" t="n">
        <v>46322</v>
      </c>
      <c r="F228" t="inlineStr">
        <is>
          <t>VÄSTRA GÖTALANDS LÄN</t>
        </is>
      </c>
      <c r="G228" t="inlineStr">
        <is>
          <t>VÅRGÅRDA</t>
        </is>
      </c>
      <c r="I228" t="n">
        <v>11.5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s="2" t="inlineStr"/>
    </row>
    <row r="229" ht="15" customHeight="1">
      <c r="A229" t="inlineStr">
        <is>
          <t>A 17986-2026</t>
        </is>
      </c>
      <c r="B229" t="inlineStr">
        <is>
          <t>avverkningsanmälan</t>
        </is>
      </c>
      <c r="C229" t="inlineStr">
        <is>
          <t>Föryngringsavverkning</t>
        </is>
      </c>
      <c r="D229" s="1" t="n">
        <v>46124</v>
      </c>
      <c r="E229" s="1" t="n">
        <v>46322</v>
      </c>
      <c r="F229" t="inlineStr">
        <is>
          <t>VÄSTRA GÖTALANDS LÄN</t>
        </is>
      </c>
      <c r="G229" t="inlineStr">
        <is>
          <t>VÅRGÅRDA</t>
        </is>
      </c>
      <c r="I229" t="n">
        <v>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s="2" t="inlineStr"/>
    </row>
    <row r="230" ht="15" customHeight="1">
      <c r="A230" t="inlineStr">
        <is>
          <t>A 52097-2024</t>
        </is>
      </c>
      <c r="B230" t="inlineStr">
        <is>
          <t>avverkningsanmälan</t>
        </is>
      </c>
      <c r="C230" t="inlineStr">
        <is>
          <t>Föryngringsavverkning</t>
        </is>
      </c>
      <c r="D230" s="1" t="n">
        <v>45608</v>
      </c>
      <c r="E230" s="1" t="n">
        <v>46322</v>
      </c>
      <c r="F230" t="inlineStr">
        <is>
          <t>VÄSTRA GÖTALANDS LÄN</t>
        </is>
      </c>
      <c r="G230" t="inlineStr">
        <is>
          <t>VÅRGÅRDA</t>
        </is>
      </c>
      <c r="I230" t="n">
        <v>10.9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s="2" t="inlineStr"/>
    </row>
    <row r="231" ht="15" customHeight="1">
      <c r="A231" t="inlineStr">
        <is>
          <t>A 18332-2026</t>
        </is>
      </c>
      <c r="B231" t="inlineStr">
        <is>
          <t>avverkningsanmälan</t>
        </is>
      </c>
      <c r="C231" t="inlineStr">
        <is>
          <t>Föryngringsavverkning</t>
        </is>
      </c>
      <c r="D231" s="1" t="n">
        <v>46126</v>
      </c>
      <c r="E231" s="1" t="n">
        <v>46322</v>
      </c>
      <c r="F231" t="inlineStr">
        <is>
          <t>VÄSTRA GÖTALANDS LÄN</t>
        </is>
      </c>
      <c r="G231" t="inlineStr">
        <is>
          <t>VÅRGÅRDA</t>
        </is>
      </c>
      <c r="I231" t="n">
        <v>0.6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s="2" t="inlineStr"/>
    </row>
    <row r="232" ht="15" customHeight="1">
      <c r="A232" t="inlineStr">
        <is>
          <t>A 18249-2026</t>
        </is>
      </c>
      <c r="B232" t="inlineStr">
        <is>
          <t>avverkningsanmälan</t>
        </is>
      </c>
      <c r="C232" t="inlineStr">
        <is>
          <t>Föryngringsavverkning</t>
        </is>
      </c>
      <c r="D232" s="1" t="n">
        <v>46126</v>
      </c>
      <c r="E232" s="1" t="n">
        <v>46322</v>
      </c>
      <c r="F232" t="inlineStr">
        <is>
          <t>VÄSTRA GÖTALANDS LÄN</t>
        </is>
      </c>
      <c r="G232" t="inlineStr">
        <is>
          <t>VÅRGÅRDA</t>
        </is>
      </c>
      <c r="I232" t="n">
        <v>0.7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s="2" t="inlineStr"/>
    </row>
    <row r="233" ht="15" customHeight="1">
      <c r="A233" t="inlineStr">
        <is>
          <t>A 18071-2026</t>
        </is>
      </c>
      <c r="B233" t="inlineStr">
        <is>
          <t>avverkningsanmälan</t>
        </is>
      </c>
      <c r="C233" t="inlineStr">
        <is>
          <t>Föryngringsavverkning</t>
        </is>
      </c>
      <c r="D233" s="1" t="n">
        <v>46125</v>
      </c>
      <c r="E233" s="1" t="n">
        <v>46322</v>
      </c>
      <c r="F233" t="inlineStr">
        <is>
          <t>VÄSTRA GÖTALANDS LÄN</t>
        </is>
      </c>
      <c r="G233" t="inlineStr">
        <is>
          <t>VÅRGÅRDA</t>
        </is>
      </c>
      <c r="I233" t="n">
        <v>0.5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s="2" t="inlineStr"/>
    </row>
    <row r="234" ht="15" customHeight="1">
      <c r="A234" t="inlineStr">
        <is>
          <t>A 18423-2026</t>
        </is>
      </c>
      <c r="B234" t="inlineStr">
        <is>
          <t>avverkningsanmälan</t>
        </is>
      </c>
      <c r="C234" t="inlineStr">
        <is>
          <t>Föryngringsavverkning</t>
        </is>
      </c>
      <c r="D234" s="1" t="n">
        <v>46126</v>
      </c>
      <c r="E234" s="1" t="n">
        <v>46322</v>
      </c>
      <c r="F234" t="inlineStr">
        <is>
          <t>VÄSTRA GÖTALANDS LÄN</t>
        </is>
      </c>
      <c r="G234" t="inlineStr">
        <is>
          <t>VÅRGÅRDA</t>
        </is>
      </c>
      <c r="I234" t="n">
        <v>1.1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s="2" t="inlineStr"/>
    </row>
    <row r="235" ht="15" customHeight="1">
      <c r="A235" t="inlineStr">
        <is>
          <t>A 18461-2026</t>
        </is>
      </c>
      <c r="B235" t="inlineStr">
        <is>
          <t>avverkningsanmälan</t>
        </is>
      </c>
      <c r="C235" t="inlineStr">
        <is>
          <t>Föryngringsavverkning</t>
        </is>
      </c>
      <c r="D235" s="1" t="n">
        <v>46127</v>
      </c>
      <c r="E235" s="1" t="n">
        <v>46322</v>
      </c>
      <c r="F235" t="inlineStr">
        <is>
          <t>VÄSTRA GÖTALANDS LÄN</t>
        </is>
      </c>
      <c r="G235" t="inlineStr">
        <is>
          <t>VÅRGÅRDA</t>
        </is>
      </c>
      <c r="I235" t="n">
        <v>0.9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s="2" t="inlineStr"/>
    </row>
    <row r="236" ht="15" customHeight="1">
      <c r="A236" t="inlineStr">
        <is>
          <t>A 32606-2026</t>
        </is>
      </c>
      <c r="B236" t="inlineStr">
        <is>
          <t>avverkningsanmälan</t>
        </is>
      </c>
      <c r="C236" t="inlineStr">
        <is>
          <t>Föryngringsavverkning</t>
        </is>
      </c>
      <c r="D236" s="1" t="n">
        <v>46240</v>
      </c>
      <c r="E236" s="1" t="n">
        <v>46322</v>
      </c>
      <c r="F236" t="inlineStr">
        <is>
          <t>VÄSTRA GÖTALANDS LÄN</t>
        </is>
      </c>
      <c r="G236" t="inlineStr">
        <is>
          <t>VÅRGÅRDA</t>
        </is>
      </c>
      <c r="I236" t="n">
        <v>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s="2" t="inlineStr"/>
    </row>
    <row r="237" ht="15" customHeight="1">
      <c r="A237" t="inlineStr">
        <is>
          <t>A 30674-2023</t>
        </is>
      </c>
      <c r="B237" t="inlineStr">
        <is>
          <t>avverkningsanmälan</t>
        </is>
      </c>
      <c r="C237" t="inlineStr">
        <is>
          <t>Föryngringsavverkning</t>
        </is>
      </c>
      <c r="D237" s="1" t="n">
        <v>45112</v>
      </c>
      <c r="E237" s="1" t="n">
        <v>46322</v>
      </c>
      <c r="F237" t="inlineStr">
        <is>
          <t>VÄSTRA GÖTALANDS LÄN</t>
        </is>
      </c>
      <c r="G237" t="inlineStr">
        <is>
          <t>VÅRGÅRDA</t>
        </is>
      </c>
      <c r="I237" t="n">
        <v>2.4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s="2" t="inlineStr"/>
    </row>
    <row r="238" ht="15" customHeight="1">
      <c r="A238" t="inlineStr">
        <is>
          <t>A 19293-2026</t>
        </is>
      </c>
      <c r="B238" t="inlineStr">
        <is>
          <t>avverkningsanmälan</t>
        </is>
      </c>
      <c r="C238" t="inlineStr">
        <is>
          <t>Föryngringsavverkning</t>
        </is>
      </c>
      <c r="D238" s="1" t="n">
        <v>46133</v>
      </c>
      <c r="E238" s="1" t="n">
        <v>46322</v>
      </c>
      <c r="F238" t="inlineStr">
        <is>
          <t>VÄSTRA GÖTALANDS LÄN</t>
        </is>
      </c>
      <c r="G238" t="inlineStr">
        <is>
          <t>VÅRGÅRDA</t>
        </is>
      </c>
      <c r="I238" t="n">
        <v>1.4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s="2" t="inlineStr"/>
    </row>
    <row r="239" ht="15" customHeight="1">
      <c r="A239" t="inlineStr">
        <is>
          <t>A 19513-2026</t>
        </is>
      </c>
      <c r="B239" t="inlineStr">
        <is>
          <t>avverkningsanmälan</t>
        </is>
      </c>
      <c r="C239" t="inlineStr">
        <is>
          <t>Föryngringsavverkning</t>
        </is>
      </c>
      <c r="D239" s="1" t="n">
        <v>46134</v>
      </c>
      <c r="E239" s="1" t="n">
        <v>46322</v>
      </c>
      <c r="F239" t="inlineStr">
        <is>
          <t>VÄSTRA GÖTALANDS LÄN</t>
        </is>
      </c>
      <c r="G239" t="inlineStr">
        <is>
          <t>VÅRGÅRDA</t>
        </is>
      </c>
      <c r="I239" t="n">
        <v>0.9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s="2" t="inlineStr"/>
    </row>
    <row r="240" ht="15" customHeight="1">
      <c r="A240" t="inlineStr">
        <is>
          <t>A 19794-2026</t>
        </is>
      </c>
      <c r="B240" t="inlineStr">
        <is>
          <t>avverkningsanmälan</t>
        </is>
      </c>
      <c r="C240" t="inlineStr">
        <is>
          <t>Föryngringsavverkning</t>
        </is>
      </c>
      <c r="D240" s="1" t="n">
        <v>46135</v>
      </c>
      <c r="E240" s="1" t="n">
        <v>46322</v>
      </c>
      <c r="F240" t="inlineStr">
        <is>
          <t>VÄSTRA GÖTALANDS LÄN</t>
        </is>
      </c>
      <c r="G240" t="inlineStr">
        <is>
          <t>VÅRGÅRDA</t>
        </is>
      </c>
      <c r="I240" t="n">
        <v>1.4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s="2" t="inlineStr"/>
    </row>
    <row r="241" ht="15" customHeight="1">
      <c r="A241" t="inlineStr">
        <is>
          <t>A 19511-2026</t>
        </is>
      </c>
      <c r="B241" t="inlineStr">
        <is>
          <t>avverkningsanmälan</t>
        </is>
      </c>
      <c r="C241" t="inlineStr">
        <is>
          <t>Föryngringsavverkning</t>
        </is>
      </c>
      <c r="D241" s="1" t="n">
        <v>46134</v>
      </c>
      <c r="E241" s="1" t="n">
        <v>46322</v>
      </c>
      <c r="F241" t="inlineStr">
        <is>
          <t>VÄSTRA GÖTALANDS LÄN</t>
        </is>
      </c>
      <c r="G241" t="inlineStr">
        <is>
          <t>VÅRGÅRDA</t>
        </is>
      </c>
      <c r="I241" t="n">
        <v>0.5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s="2" t="inlineStr"/>
    </row>
    <row r="242" ht="15" customHeight="1">
      <c r="A242" t="inlineStr">
        <is>
          <t>A 41590-2025</t>
        </is>
      </c>
      <c r="B242" t="inlineStr">
        <is>
          <t>avverkningsanmälan</t>
        </is>
      </c>
      <c r="C242" t="inlineStr">
        <is>
          <t>Föryngringsavverkning</t>
        </is>
      </c>
      <c r="D242" s="1" t="n">
        <v>45901</v>
      </c>
      <c r="E242" s="1" t="n">
        <v>46322</v>
      </c>
      <c r="F242" t="inlineStr">
        <is>
          <t>VÄSTRA GÖTALANDS LÄN</t>
        </is>
      </c>
      <c r="G242" t="inlineStr">
        <is>
          <t>VÅRGÅRDA</t>
        </is>
      </c>
      <c r="I242" t="n">
        <v>1.7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s="2" t="inlineStr"/>
    </row>
    <row r="243" ht="15" customHeight="1">
      <c r="A243" t="inlineStr">
        <is>
          <t>A 16169-2024</t>
        </is>
      </c>
      <c r="B243" t="inlineStr">
        <is>
          <t>avverkningsanmälan</t>
        </is>
      </c>
      <c r="C243" t="inlineStr">
        <is>
          <t>Föryngringsavverkning</t>
        </is>
      </c>
      <c r="D243" s="1" t="n">
        <v>45406</v>
      </c>
      <c r="E243" s="1" t="n">
        <v>46322</v>
      </c>
      <c r="F243" t="inlineStr">
        <is>
          <t>VÄSTRA GÖTALANDS LÄN</t>
        </is>
      </c>
      <c r="G243" t="inlineStr">
        <is>
          <t>VÅRGÅRDA</t>
        </is>
      </c>
      <c r="I243" t="n">
        <v>2.1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s="2" t="inlineStr"/>
    </row>
    <row r="244" ht="15" customHeight="1">
      <c r="A244" t="inlineStr">
        <is>
          <t>A 61969-2022</t>
        </is>
      </c>
      <c r="B244" t="inlineStr">
        <is>
          <t>avverkningsanmälan</t>
        </is>
      </c>
      <c r="C244" t="inlineStr">
        <is>
          <t>Föryngringsavverkning</t>
        </is>
      </c>
      <c r="D244" s="1" t="n">
        <v>44914</v>
      </c>
      <c r="E244" s="1" t="n">
        <v>46322</v>
      </c>
      <c r="F244" t="inlineStr">
        <is>
          <t>VÄSTRA GÖTALANDS LÄN</t>
        </is>
      </c>
      <c r="G244" t="inlineStr">
        <is>
          <t>VÅRGÅRDA</t>
        </is>
      </c>
      <c r="I244" t="n">
        <v>5.7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s="2" t="inlineStr"/>
    </row>
    <row r="245" ht="15" customHeight="1">
      <c r="A245" t="inlineStr">
        <is>
          <t>A 946-2026</t>
        </is>
      </c>
      <c r="B245" t="inlineStr">
        <is>
          <t>avverkningsanmälan</t>
        </is>
      </c>
      <c r="C245" t="inlineStr">
        <is>
          <t>Föryngringsavverkning</t>
        </is>
      </c>
      <c r="D245" s="1" t="n">
        <v>46030</v>
      </c>
      <c r="E245" s="1" t="n">
        <v>46322</v>
      </c>
      <c r="F245" t="inlineStr">
        <is>
          <t>VÄSTRA GÖTALANDS LÄN</t>
        </is>
      </c>
      <c r="G245" t="inlineStr">
        <is>
          <t>VÅRGÅRDA</t>
        </is>
      </c>
      <c r="I245" t="n">
        <v>1.3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s="2" t="inlineStr"/>
    </row>
    <row r="246" ht="15" customHeight="1">
      <c r="A246" t="inlineStr">
        <is>
          <t>A 8456-2024</t>
        </is>
      </c>
      <c r="B246" t="inlineStr">
        <is>
          <t>avverkningsanmälan</t>
        </is>
      </c>
      <c r="C246" t="inlineStr">
        <is>
          <t>Föryngringsavverkning</t>
        </is>
      </c>
      <c r="D246" s="1" t="n">
        <v>45354</v>
      </c>
      <c r="E246" s="1" t="n">
        <v>46322</v>
      </c>
      <c r="F246" t="inlineStr">
        <is>
          <t>VÄSTRA GÖTALANDS LÄN</t>
        </is>
      </c>
      <c r="G246" t="inlineStr">
        <is>
          <t>VÅRGÅRDA</t>
        </is>
      </c>
      <c r="I246" t="n">
        <v>4.3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s="2" t="inlineStr"/>
    </row>
    <row r="247" ht="15" customHeight="1">
      <c r="A247" t="inlineStr">
        <is>
          <t>A 50958-2023</t>
        </is>
      </c>
      <c r="B247" t="inlineStr">
        <is>
          <t>avverkningsanmälan</t>
        </is>
      </c>
      <c r="C247" t="inlineStr">
        <is>
          <t>Föryngringsavverkning</t>
        </is>
      </c>
      <c r="D247" s="1" t="n">
        <v>45210</v>
      </c>
      <c r="E247" s="1" t="n">
        <v>46322</v>
      </c>
      <c r="F247" t="inlineStr">
        <is>
          <t>VÄSTRA GÖTALANDS LÄN</t>
        </is>
      </c>
      <c r="G247" t="inlineStr">
        <is>
          <t>VÅRGÅRDA</t>
        </is>
      </c>
      <c r="H247" t="inlineStr">
        <is>
          <t>Allmännings- och besparingsskogar</t>
        </is>
      </c>
      <c r="I247" t="n">
        <v>3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s="2" t="inlineStr"/>
    </row>
    <row r="248" ht="15" customHeight="1">
      <c r="A248" t="inlineStr">
        <is>
          <t>A 17972-2023</t>
        </is>
      </c>
      <c r="B248" t="inlineStr">
        <is>
          <t>avverkningsanmälan</t>
        </is>
      </c>
      <c r="C248" t="inlineStr">
        <is>
          <t>Föryngringsavverkning</t>
        </is>
      </c>
      <c r="D248" s="1" t="n">
        <v>45040</v>
      </c>
      <c r="E248" s="1" t="n">
        <v>46322</v>
      </c>
      <c r="F248" t="inlineStr">
        <is>
          <t>VÄSTRA GÖTALANDS LÄN</t>
        </is>
      </c>
      <c r="G248" t="inlineStr">
        <is>
          <t>VÅRGÅRDA</t>
        </is>
      </c>
      <c r="I248" t="n">
        <v>2.4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s="2" t="inlineStr"/>
    </row>
    <row r="249" ht="15" customHeight="1">
      <c r="A249" t="inlineStr">
        <is>
          <t>A 59684-2022</t>
        </is>
      </c>
      <c r="B249" t="inlineStr">
        <is>
          <t>avverkningsanmälan</t>
        </is>
      </c>
      <c r="C249" t="inlineStr">
        <is>
          <t>Föryngringsavverkning</t>
        </is>
      </c>
      <c r="D249" s="1" t="n">
        <v>44908</v>
      </c>
      <c r="E249" s="1" t="n">
        <v>46322</v>
      </c>
      <c r="F249" t="inlineStr">
        <is>
          <t>VÄSTRA GÖTALANDS LÄN</t>
        </is>
      </c>
      <c r="G249" t="inlineStr">
        <is>
          <t>VÅRGÅRDA</t>
        </is>
      </c>
      <c r="H249" t="inlineStr">
        <is>
          <t>Sveaskog</t>
        </is>
      </c>
      <c r="I249" t="n">
        <v>4.1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s="2" t="inlineStr"/>
    </row>
    <row r="250" ht="15" customHeight="1">
      <c r="A250" t="inlineStr">
        <is>
          <t>A 22386-2024</t>
        </is>
      </c>
      <c r="B250" t="inlineStr">
        <is>
          <t>avverkningsanmälan</t>
        </is>
      </c>
      <c r="C250" t="inlineStr">
        <is>
          <t>Föryngringsavverkning</t>
        </is>
      </c>
      <c r="D250" s="1" t="n">
        <v>45446</v>
      </c>
      <c r="E250" s="1" t="n">
        <v>46322</v>
      </c>
      <c r="F250" t="inlineStr">
        <is>
          <t>VÄSTRA GÖTALANDS LÄN</t>
        </is>
      </c>
      <c r="G250" t="inlineStr">
        <is>
          <t>VÅRGÅRDA</t>
        </is>
      </c>
      <c r="I250" t="n">
        <v>2.8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s="2" t="inlineStr"/>
    </row>
    <row r="251" ht="15" customHeight="1">
      <c r="A251" t="inlineStr">
        <is>
          <t>A 39422-2026</t>
        </is>
      </c>
      <c r="B251" t="inlineStr">
        <is>
          <t>avverkningsanmälan</t>
        </is>
      </c>
      <c r="C251" t="inlineStr">
        <is>
          <t>Föryngringsavverkning</t>
        </is>
      </c>
      <c r="D251" s="1" t="n">
        <v>46288</v>
      </c>
      <c r="E251" s="1" t="n">
        <v>46322</v>
      </c>
      <c r="F251" t="inlineStr">
        <is>
          <t>VÄSTRA GÖTALANDS LÄN</t>
        </is>
      </c>
      <c r="G251" t="inlineStr">
        <is>
          <t>VÅRGÅRDA</t>
        </is>
      </c>
      <c r="H251" t="inlineStr">
        <is>
          <t>Kyrkan</t>
        </is>
      </c>
      <c r="I251" t="n">
        <v>2.1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s="2" t="inlineStr"/>
    </row>
    <row r="252" ht="15" customHeight="1">
      <c r="A252" t="inlineStr">
        <is>
          <t>A 39235-2026</t>
        </is>
      </c>
      <c r="B252" t="inlineStr">
        <is>
          <t>avverkningsanmälan</t>
        </is>
      </c>
      <c r="C252" t="inlineStr">
        <is>
          <t>Föryngringsavverkning</t>
        </is>
      </c>
      <c r="D252" s="1" t="n">
        <v>46287</v>
      </c>
      <c r="E252" s="1" t="n">
        <v>46322</v>
      </c>
      <c r="F252" t="inlineStr">
        <is>
          <t>VÄSTRA GÖTALANDS LÄN</t>
        </is>
      </c>
      <c r="G252" t="inlineStr">
        <is>
          <t>VÅRGÅRDA</t>
        </is>
      </c>
      <c r="I252" t="n">
        <v>1.6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s="2" t="inlineStr"/>
    </row>
    <row r="253" ht="15" customHeight="1">
      <c r="A253" t="inlineStr">
        <is>
          <t>A 33345-2026</t>
        </is>
      </c>
      <c r="B253" t="inlineStr">
        <is>
          <t>avverkningsanmälan</t>
        </is>
      </c>
      <c r="C253" t="inlineStr">
        <is>
          <t>Föryngringsavverkning</t>
        </is>
      </c>
      <c r="D253" s="1" t="n">
        <v>46246</v>
      </c>
      <c r="E253" s="1" t="n">
        <v>46322</v>
      </c>
      <c r="F253" t="inlineStr">
        <is>
          <t>VÄSTRA GÖTALANDS LÄN</t>
        </is>
      </c>
      <c r="G253" t="inlineStr">
        <is>
          <t>VÅRGÅRDA</t>
        </is>
      </c>
      <c r="I253" t="n">
        <v>1.5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s="2" t="inlineStr"/>
    </row>
    <row r="254" ht="15" customHeight="1">
      <c r="A254" t="inlineStr">
        <is>
          <t>A 7047-2023</t>
        </is>
      </c>
      <c r="B254" t="inlineStr">
        <is>
          <t>avverkningsanmälan</t>
        </is>
      </c>
      <c r="C254" t="inlineStr">
        <is>
          <t>Föryngringsavverkning</t>
        </is>
      </c>
      <c r="D254" s="1" t="n">
        <v>44968</v>
      </c>
      <c r="E254" s="1" t="n">
        <v>46322</v>
      </c>
      <c r="F254" t="inlineStr">
        <is>
          <t>VÄSTRA GÖTALANDS LÄN</t>
        </is>
      </c>
      <c r="G254" t="inlineStr">
        <is>
          <t>VÅRGÅRDA</t>
        </is>
      </c>
      <c r="I254" t="n">
        <v>1.9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s="2" t="inlineStr"/>
    </row>
    <row r="255" ht="15" customHeight="1">
      <c r="A255" t="inlineStr">
        <is>
          <t>A 33339-2026</t>
        </is>
      </c>
      <c r="B255" t="inlineStr">
        <is>
          <t>avverkningsanmälan</t>
        </is>
      </c>
      <c r="C255" t="inlineStr">
        <is>
          <t>Föryngringsavverkning</t>
        </is>
      </c>
      <c r="D255" s="1" t="n">
        <v>46246</v>
      </c>
      <c r="E255" s="1" t="n">
        <v>46322</v>
      </c>
      <c r="F255" t="inlineStr">
        <is>
          <t>VÄSTRA GÖTALANDS LÄN</t>
        </is>
      </c>
      <c r="G255" t="inlineStr">
        <is>
          <t>VÅRGÅRDA</t>
        </is>
      </c>
      <c r="I255" t="n">
        <v>0.7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s="2" t="inlineStr"/>
    </row>
    <row r="256" ht="15" customHeight="1">
      <c r="A256" t="inlineStr">
        <is>
          <t>A 2416-2026</t>
        </is>
      </c>
      <c r="B256" t="inlineStr">
        <is>
          <t>avverkningsanmälan</t>
        </is>
      </c>
      <c r="C256" t="inlineStr">
        <is>
          <t>Föryngringsavverkning</t>
        </is>
      </c>
      <c r="D256" s="1" t="n">
        <v>46036</v>
      </c>
      <c r="E256" s="1" t="n">
        <v>46322</v>
      </c>
      <c r="F256" t="inlineStr">
        <is>
          <t>VÄSTRA GÖTALANDS LÄN</t>
        </is>
      </c>
      <c r="G256" t="inlineStr">
        <is>
          <t>VÅRGÅRDA</t>
        </is>
      </c>
      <c r="I256" t="n">
        <v>1.4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s="2" t="inlineStr"/>
    </row>
    <row r="257" ht="15" customHeight="1">
      <c r="A257" t="inlineStr">
        <is>
          <t>A 62535-2023</t>
        </is>
      </c>
      <c r="B257" t="inlineStr">
        <is>
          <t>avverkningsanmälan</t>
        </is>
      </c>
      <c r="C257" t="inlineStr">
        <is>
          <t>Avverkning för annat ändamål</t>
        </is>
      </c>
      <c r="D257" s="1" t="n">
        <v>45268</v>
      </c>
      <c r="E257" s="1" t="n">
        <v>46322</v>
      </c>
      <c r="F257" t="inlineStr">
        <is>
          <t>VÄSTRA GÖTALANDS LÄN</t>
        </is>
      </c>
      <c r="G257" t="inlineStr">
        <is>
          <t>VÅRGÅRDA</t>
        </is>
      </c>
      <c r="I257" t="n">
        <v>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s="2" t="inlineStr"/>
    </row>
    <row r="258" ht="15" customHeight="1">
      <c r="A258" t="inlineStr">
        <is>
          <t>A 33343-2026</t>
        </is>
      </c>
      <c r="B258" t="inlineStr">
        <is>
          <t>avverkningsanmälan</t>
        </is>
      </c>
      <c r="C258" t="inlineStr">
        <is>
          <t>Föryngringsavverkning</t>
        </is>
      </c>
      <c r="D258" s="1" t="n">
        <v>46246</v>
      </c>
      <c r="E258" s="1" t="n">
        <v>46322</v>
      </c>
      <c r="F258" t="inlineStr">
        <is>
          <t>VÄSTRA GÖTALANDS LÄN</t>
        </is>
      </c>
      <c r="G258" t="inlineStr">
        <is>
          <t>VÅRGÅRDA</t>
        </is>
      </c>
      <c r="I258" t="n">
        <v>0.5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s="2" t="inlineStr"/>
    </row>
    <row r="259" ht="15" customHeight="1">
      <c r="A259" t="inlineStr">
        <is>
          <t>A 16280-2025</t>
        </is>
      </c>
      <c r="B259" t="inlineStr">
        <is>
          <t>avverkningsanmälan</t>
        </is>
      </c>
      <c r="C259" t="inlineStr">
        <is>
          <t>Föryngringsavverkning</t>
        </is>
      </c>
      <c r="D259" s="1" t="n">
        <v>45751</v>
      </c>
      <c r="E259" s="1" t="n">
        <v>46322</v>
      </c>
      <c r="F259" t="inlineStr">
        <is>
          <t>VÄSTRA GÖTALANDS LÄN</t>
        </is>
      </c>
      <c r="G259" t="inlineStr">
        <is>
          <t>VÅRGÅRDA</t>
        </is>
      </c>
      <c r="H259" t="inlineStr">
        <is>
          <t>Sveaskog</t>
        </is>
      </c>
      <c r="I259" t="n">
        <v>3.3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s="2" t="inlineStr"/>
    </row>
    <row r="260" ht="15" customHeight="1">
      <c r="A260" t="inlineStr">
        <is>
          <t>A 33656-2026</t>
        </is>
      </c>
      <c r="B260" t="inlineStr">
        <is>
          <t>avverkningsanmälan</t>
        </is>
      </c>
      <c r="C260" t="inlineStr">
        <is>
          <t>Föryngringsavverkning</t>
        </is>
      </c>
      <c r="D260" s="1" t="n">
        <v>46248</v>
      </c>
      <c r="E260" s="1" t="n">
        <v>46322</v>
      </c>
      <c r="F260" t="inlineStr">
        <is>
          <t>VÄSTRA GÖTALANDS LÄN</t>
        </is>
      </c>
      <c r="G260" t="inlineStr">
        <is>
          <t>VÅRGÅRDA</t>
        </is>
      </c>
      <c r="I260" t="n">
        <v>1.5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s="2" t="inlineStr"/>
    </row>
    <row r="261" ht="15" customHeight="1">
      <c r="A261" t="inlineStr">
        <is>
          <t>A 627-2022</t>
        </is>
      </c>
      <c r="B261" t="inlineStr">
        <is>
          <t>avverkningsanmälan</t>
        </is>
      </c>
      <c r="C261" t="inlineStr">
        <is>
          <t>Föryngringsavverkning</t>
        </is>
      </c>
      <c r="D261" s="1" t="n">
        <v>44568</v>
      </c>
      <c r="E261" s="1" t="n">
        <v>46322</v>
      </c>
      <c r="F261" t="inlineStr">
        <is>
          <t>VÄSTRA GÖTALANDS LÄN</t>
        </is>
      </c>
      <c r="G261" t="inlineStr">
        <is>
          <t>VÅRGÅRDA</t>
        </is>
      </c>
      <c r="I261" t="n">
        <v>2.3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s="2" t="inlineStr"/>
    </row>
    <row r="262" ht="15" customHeight="1">
      <c r="A262" t="inlineStr">
        <is>
          <t>A 44669-2023</t>
        </is>
      </c>
      <c r="B262" t="inlineStr">
        <is>
          <t>avverkningsanmälan</t>
        </is>
      </c>
      <c r="C262" t="inlineStr">
        <is>
          <t>Föryngringsavverkning</t>
        </is>
      </c>
      <c r="D262" s="1" t="n">
        <v>45189</v>
      </c>
      <c r="E262" s="1" t="n">
        <v>46322</v>
      </c>
      <c r="F262" t="inlineStr">
        <is>
          <t>VÄSTRA GÖTALANDS LÄN</t>
        </is>
      </c>
      <c r="G262" t="inlineStr">
        <is>
          <t>VÅRGÅRDA</t>
        </is>
      </c>
      <c r="I262" t="n">
        <v>0.7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s="2" t="inlineStr"/>
    </row>
    <row r="263" ht="15" customHeight="1">
      <c r="A263" t="inlineStr">
        <is>
          <t>A 58866-2025</t>
        </is>
      </c>
      <c r="B263" t="inlineStr">
        <is>
          <t>avverkningsanmälan</t>
        </is>
      </c>
      <c r="C263" t="inlineStr">
        <is>
          <t>Föryngringsavverkning</t>
        </is>
      </c>
      <c r="D263" s="1" t="n">
        <v>45987</v>
      </c>
      <c r="E263" s="1" t="n">
        <v>46322</v>
      </c>
      <c r="F263" t="inlineStr">
        <is>
          <t>VÄSTRA GÖTALANDS LÄN</t>
        </is>
      </c>
      <c r="G263" t="inlineStr">
        <is>
          <t>VÅRGÅRDA</t>
        </is>
      </c>
      <c r="I263" t="n">
        <v>5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s="2" t="inlineStr"/>
    </row>
    <row r="264" ht="15" customHeight="1">
      <c r="A264" t="inlineStr">
        <is>
          <t>A 64386-2021</t>
        </is>
      </c>
      <c r="B264" t="inlineStr">
        <is>
          <t>avverkningsanmälan</t>
        </is>
      </c>
      <c r="C264" t="inlineStr">
        <is>
          <t>Föryngringsavverkning</t>
        </is>
      </c>
      <c r="D264" s="1" t="n">
        <v>44511</v>
      </c>
      <c r="E264" s="1" t="n">
        <v>46322</v>
      </c>
      <c r="F264" t="inlineStr">
        <is>
          <t>VÄSTRA GÖTALANDS LÄN</t>
        </is>
      </c>
      <c r="G264" t="inlineStr">
        <is>
          <t>VÅRGÅRDA</t>
        </is>
      </c>
      <c r="I264" t="n">
        <v>3.7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s="2" t="inlineStr"/>
    </row>
    <row r="265" ht="15" customHeight="1">
      <c r="A265" t="inlineStr">
        <is>
          <t>A 66386-2021</t>
        </is>
      </c>
      <c r="B265" t="inlineStr">
        <is>
          <t>avverkningsanmälan</t>
        </is>
      </c>
      <c r="C265" t="inlineStr">
        <is>
          <t>Föryngringsavverkning</t>
        </is>
      </c>
      <c r="D265" s="1" t="n">
        <v>44518</v>
      </c>
      <c r="E265" s="1" t="n">
        <v>46322</v>
      </c>
      <c r="F265" t="inlineStr">
        <is>
          <t>VÄSTRA GÖTALANDS LÄN</t>
        </is>
      </c>
      <c r="G265" t="inlineStr">
        <is>
          <t>VÅRGÅRDA</t>
        </is>
      </c>
      <c r="I265" t="n">
        <v>0.9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s="2" t="inlineStr"/>
    </row>
    <row r="266" ht="15" customHeight="1">
      <c r="A266" t="inlineStr">
        <is>
          <t>A 16121-2024</t>
        </is>
      </c>
      <c r="B266" t="inlineStr">
        <is>
          <t>avverkningsanmälan</t>
        </is>
      </c>
      <c r="C266" t="inlineStr">
        <is>
          <t>Föryngringsavverkning</t>
        </is>
      </c>
      <c r="D266" s="1" t="n">
        <v>45406</v>
      </c>
      <c r="E266" s="1" t="n">
        <v>46322</v>
      </c>
      <c r="F266" t="inlineStr">
        <is>
          <t>VÄSTRA GÖTALANDS LÄN</t>
        </is>
      </c>
      <c r="G266" t="inlineStr">
        <is>
          <t>VÅRGÅRDA</t>
        </is>
      </c>
      <c r="I266" t="n">
        <v>4.5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s="2" t="inlineStr"/>
    </row>
    <row r="267" ht="15" customHeight="1">
      <c r="A267" t="inlineStr">
        <is>
          <t>A 39765-2026</t>
        </is>
      </c>
      <c r="B267" t="inlineStr">
        <is>
          <t>avverkningsanmälan</t>
        </is>
      </c>
      <c r="C267" t="inlineStr">
        <is>
          <t>Föryngringsavverkning</t>
        </is>
      </c>
      <c r="D267" s="1" t="n">
        <v>46290</v>
      </c>
      <c r="E267" s="1" t="n">
        <v>46322</v>
      </c>
      <c r="F267" t="inlineStr">
        <is>
          <t>VÄSTRA GÖTALANDS LÄN</t>
        </is>
      </c>
      <c r="G267" t="inlineStr">
        <is>
          <t>VÅRGÅRDA</t>
        </is>
      </c>
      <c r="I267" t="n">
        <v>0.6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s="2" t="inlineStr"/>
    </row>
    <row r="268" ht="15" customHeight="1">
      <c r="A268" t="inlineStr">
        <is>
          <t>A 17201-2025</t>
        </is>
      </c>
      <c r="B268" t="inlineStr">
        <is>
          <t>avverkningsanmälan</t>
        </is>
      </c>
      <c r="C268" t="inlineStr">
        <is>
          <t>Föryngringsavverkning</t>
        </is>
      </c>
      <c r="D268" s="1" t="n">
        <v>45756</v>
      </c>
      <c r="E268" s="1" t="n">
        <v>46322</v>
      </c>
      <c r="F268" t="inlineStr">
        <is>
          <t>VÄSTRA GÖTALANDS LÄN</t>
        </is>
      </c>
      <c r="G268" t="inlineStr">
        <is>
          <t>VÅRGÅRDA</t>
        </is>
      </c>
      <c r="I268" t="n">
        <v>2.2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s="2" t="inlineStr"/>
    </row>
    <row r="269" ht="15" customHeight="1">
      <c r="A269" t="inlineStr">
        <is>
          <t>A 39936-2026</t>
        </is>
      </c>
      <c r="B269" t="inlineStr">
        <is>
          <t>avverkningsanmälan</t>
        </is>
      </c>
      <c r="C269" t="inlineStr">
        <is>
          <t>Föryngringsavverkning</t>
        </is>
      </c>
      <c r="D269" s="1" t="n">
        <v>46290</v>
      </c>
      <c r="E269" s="1" t="n">
        <v>46322</v>
      </c>
      <c r="F269" t="inlineStr">
        <is>
          <t>VÄSTRA GÖTALANDS LÄN</t>
        </is>
      </c>
      <c r="G269" t="inlineStr">
        <is>
          <t>VÅRGÅRDA</t>
        </is>
      </c>
      <c r="I269" t="n">
        <v>1.1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s="2" t="inlineStr"/>
    </row>
    <row r="270" ht="15" customHeight="1">
      <c r="A270" t="inlineStr">
        <is>
          <t>A 39767-2026</t>
        </is>
      </c>
      <c r="B270" t="inlineStr">
        <is>
          <t>avverkningsanmälan</t>
        </is>
      </c>
      <c r="C270" t="inlineStr">
        <is>
          <t>Föryngringsavverkning</t>
        </is>
      </c>
      <c r="D270" s="1" t="n">
        <v>46290</v>
      </c>
      <c r="E270" s="1" t="n">
        <v>46322</v>
      </c>
      <c r="F270" t="inlineStr">
        <is>
          <t>VÄSTRA GÖTALANDS LÄN</t>
        </is>
      </c>
      <c r="G270" t="inlineStr">
        <is>
          <t>VÅRGÅRDA</t>
        </is>
      </c>
      <c r="I270" t="n">
        <v>1.1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s="2" t="inlineStr"/>
    </row>
    <row r="271" ht="15" customHeight="1">
      <c r="A271" t="inlineStr">
        <is>
          <t>A 39236-2026</t>
        </is>
      </c>
      <c r="B271" t="inlineStr">
        <is>
          <t>avverkningsanmälan</t>
        </is>
      </c>
      <c r="C271" t="inlineStr">
        <is>
          <t>Föryngringsavverkning</t>
        </is>
      </c>
      <c r="D271" s="1" t="n">
        <v>46287</v>
      </c>
      <c r="E271" s="1" t="n">
        <v>46322</v>
      </c>
      <c r="F271" t="inlineStr">
        <is>
          <t>VÄSTRA GÖTALANDS LÄN</t>
        </is>
      </c>
      <c r="G271" t="inlineStr">
        <is>
          <t>VÅRGÅRDA</t>
        </is>
      </c>
      <c r="I271" t="n">
        <v>0.6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s="2" t="inlineStr"/>
    </row>
    <row r="272" ht="15" customHeight="1">
      <c r="A272" t="inlineStr">
        <is>
          <t>A 39935-2026</t>
        </is>
      </c>
      <c r="B272" t="inlineStr">
        <is>
          <t>avverkningsanmälan</t>
        </is>
      </c>
      <c r="C272" t="inlineStr">
        <is>
          <t>Föryngringsavverkning</t>
        </is>
      </c>
      <c r="D272" s="1" t="n">
        <v>46290</v>
      </c>
      <c r="E272" s="1" t="n">
        <v>46322</v>
      </c>
      <c r="F272" t="inlineStr">
        <is>
          <t>VÄSTRA GÖTALANDS LÄN</t>
        </is>
      </c>
      <c r="G272" t="inlineStr">
        <is>
          <t>VÅRGÅRDA</t>
        </is>
      </c>
      <c r="I272" t="n">
        <v>0.6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s="2" t="inlineStr"/>
    </row>
    <row r="273" ht="15" customHeight="1">
      <c r="A273" t="inlineStr">
        <is>
          <t>A 1005-2024</t>
        </is>
      </c>
      <c r="B273" t="inlineStr">
        <is>
          <t>avverkningsanmälan</t>
        </is>
      </c>
      <c r="C273" t="inlineStr">
        <is>
          <t>Avverkning för annat ändamål</t>
        </is>
      </c>
      <c r="D273" s="1" t="n">
        <v>45301</v>
      </c>
      <c r="E273" s="1" t="n">
        <v>46322</v>
      </c>
      <c r="F273" t="inlineStr">
        <is>
          <t>VÄSTRA GÖTALANDS LÄN</t>
        </is>
      </c>
      <c r="G273" t="inlineStr">
        <is>
          <t>VÅRGÅRDA</t>
        </is>
      </c>
      <c r="I273" t="n">
        <v>0.8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s="2" t="inlineStr"/>
    </row>
    <row r="274" ht="15" customHeight="1">
      <c r="A274" t="inlineStr">
        <is>
          <t>A 4548-2024</t>
        </is>
      </c>
      <c r="B274" t="inlineStr">
        <is>
          <t>avverkningsanmälan</t>
        </is>
      </c>
      <c r="C274" t="inlineStr">
        <is>
          <t>Föryngringsavverkning</t>
        </is>
      </c>
      <c r="D274" s="1" t="n">
        <v>45327</v>
      </c>
      <c r="E274" s="1" t="n">
        <v>46322</v>
      </c>
      <c r="F274" t="inlineStr">
        <is>
          <t>VÄSTRA GÖTALANDS LÄN</t>
        </is>
      </c>
      <c r="G274" t="inlineStr">
        <is>
          <t>VÅRGÅRDA</t>
        </is>
      </c>
      <c r="I274" t="n">
        <v>1.2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s="2" t="inlineStr"/>
    </row>
    <row r="275" ht="15" customHeight="1">
      <c r="A275" t="inlineStr">
        <is>
          <t>A 33921-2026</t>
        </is>
      </c>
      <c r="B275" t="inlineStr">
        <is>
          <t>avverkningsanmälan</t>
        </is>
      </c>
      <c r="C275" t="inlineStr">
        <is>
          <t>Föryngringsavverkning</t>
        </is>
      </c>
      <c r="D275" s="1" t="n">
        <v>46252</v>
      </c>
      <c r="E275" s="1" t="n">
        <v>46322</v>
      </c>
      <c r="F275" t="inlineStr">
        <is>
          <t>VÄSTRA GÖTALANDS LÄN</t>
        </is>
      </c>
      <c r="G275" t="inlineStr">
        <is>
          <t>VÅRGÅRDA</t>
        </is>
      </c>
      <c r="I275" t="n">
        <v>2.8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s="2" t="inlineStr"/>
    </row>
    <row r="276" ht="15" customHeight="1">
      <c r="A276" t="inlineStr">
        <is>
          <t>A 40456-2026</t>
        </is>
      </c>
      <c r="B276" t="inlineStr">
        <is>
          <t>avverkningsanmälan</t>
        </is>
      </c>
      <c r="C276" t="inlineStr">
        <is>
          <t>Föryngringsavverkning</t>
        </is>
      </c>
      <c r="D276" s="1" t="n">
        <v>46294</v>
      </c>
      <c r="E276" s="1" t="n">
        <v>46322</v>
      </c>
      <c r="F276" t="inlineStr">
        <is>
          <t>VÄSTRA GÖTALANDS LÄN</t>
        </is>
      </c>
      <c r="G276" t="inlineStr">
        <is>
          <t>VÅRGÅRDA</t>
        </is>
      </c>
      <c r="I276" t="n">
        <v>0.6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s="2" t="inlineStr"/>
    </row>
    <row r="277" ht="15" customHeight="1">
      <c r="A277" t="inlineStr">
        <is>
          <t>A 60589-2023</t>
        </is>
      </c>
      <c r="B277" t="inlineStr">
        <is>
          <t>avverkningsanmälan</t>
        </is>
      </c>
      <c r="C277" t="inlineStr">
        <is>
          <t>Föryngringsavverkning</t>
        </is>
      </c>
      <c r="D277" s="1" t="n">
        <v>45260</v>
      </c>
      <c r="E277" s="1" t="n">
        <v>46322</v>
      </c>
      <c r="F277" t="inlineStr">
        <is>
          <t>VÄSTRA GÖTALANDS LÄN</t>
        </is>
      </c>
      <c r="G277" t="inlineStr">
        <is>
          <t>VÅRGÅRDA</t>
        </is>
      </c>
      <c r="I277" t="n">
        <v>3.8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s="2" t="inlineStr"/>
    </row>
    <row r="278" ht="15" customHeight="1">
      <c r="A278" t="inlineStr">
        <is>
          <t>A 57921-2022</t>
        </is>
      </c>
      <c r="B278" t="inlineStr">
        <is>
          <t>avverkningsanmälan</t>
        </is>
      </c>
      <c r="C278" t="inlineStr">
        <is>
          <t>Föryngringsavverkning</t>
        </is>
      </c>
      <c r="D278" s="1" t="n">
        <v>44900</v>
      </c>
      <c r="E278" s="1" t="n">
        <v>46322</v>
      </c>
      <c r="F278" t="inlineStr">
        <is>
          <t>VÄSTRA GÖTALANDS LÄN</t>
        </is>
      </c>
      <c r="G278" t="inlineStr">
        <is>
          <t>VÅRGÅRDA</t>
        </is>
      </c>
      <c r="I278" t="n">
        <v>0.6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s="2" t="inlineStr"/>
    </row>
    <row r="279" ht="15" customHeight="1">
      <c r="A279" t="inlineStr">
        <is>
          <t>A 21232-2023</t>
        </is>
      </c>
      <c r="B279" t="inlineStr">
        <is>
          <t>avverkningsanmälan</t>
        </is>
      </c>
      <c r="C279" t="inlineStr">
        <is>
          <t>Föryngringsavverkning</t>
        </is>
      </c>
      <c r="D279" s="1" t="n">
        <v>45062</v>
      </c>
      <c r="E279" s="1" t="n">
        <v>46322</v>
      </c>
      <c r="F279" t="inlineStr">
        <is>
          <t>VÄSTRA GÖTALANDS LÄN</t>
        </is>
      </c>
      <c r="G279" t="inlineStr">
        <is>
          <t>VÅRGÅRDA</t>
        </is>
      </c>
      <c r="I279" t="n">
        <v>0.6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s="2" t="inlineStr"/>
    </row>
    <row r="280" ht="15" customHeight="1">
      <c r="A280" t="inlineStr">
        <is>
          <t>A 16281-2025</t>
        </is>
      </c>
      <c r="B280" t="inlineStr">
        <is>
          <t>avverkningsanmälan</t>
        </is>
      </c>
      <c r="C280" t="inlineStr">
        <is>
          <t>Föryngringsavverkning</t>
        </is>
      </c>
      <c r="D280" s="1" t="n">
        <v>45751</v>
      </c>
      <c r="E280" s="1" t="n">
        <v>46322</v>
      </c>
      <c r="F280" t="inlineStr">
        <is>
          <t>VÄSTRA GÖTALANDS LÄN</t>
        </is>
      </c>
      <c r="G280" t="inlineStr">
        <is>
          <t>VÅRGÅRDA</t>
        </is>
      </c>
      <c r="H280" t="inlineStr">
        <is>
          <t>Sveaskog</t>
        </is>
      </c>
      <c r="I280" t="n">
        <v>2.8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s="2" t="inlineStr"/>
    </row>
    <row r="281" ht="15" customHeight="1">
      <c r="A281" t="inlineStr">
        <is>
          <t>A 16283-2025</t>
        </is>
      </c>
      <c r="B281" t="inlineStr">
        <is>
          <t>avverkningsanmälan</t>
        </is>
      </c>
      <c r="C281" t="inlineStr">
        <is>
          <t>Föryngringsavverkning</t>
        </is>
      </c>
      <c r="D281" s="1" t="n">
        <v>45751</v>
      </c>
      <c r="E281" s="1" t="n">
        <v>46322</v>
      </c>
      <c r="F281" t="inlineStr">
        <is>
          <t>VÄSTRA GÖTALANDS LÄN</t>
        </is>
      </c>
      <c r="G281" t="inlineStr">
        <is>
          <t>VÅRGÅRDA</t>
        </is>
      </c>
      <c r="H281" t="inlineStr">
        <is>
          <t>Sveaskog</t>
        </is>
      </c>
      <c r="I281" t="n">
        <v>2.6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s="2" t="inlineStr"/>
    </row>
    <row r="282" ht="15" customHeight="1">
      <c r="A282" t="inlineStr">
        <is>
          <t>A 24760-2026</t>
        </is>
      </c>
      <c r="B282" t="inlineStr">
        <is>
          <t>avverkningsanmälan</t>
        </is>
      </c>
      <c r="C282" t="inlineStr">
        <is>
          <t>Föryngringsavverkning</t>
        </is>
      </c>
      <c r="D282" s="1" t="n">
        <v>46170</v>
      </c>
      <c r="E282" s="1" t="n">
        <v>46322</v>
      </c>
      <c r="F282" t="inlineStr">
        <is>
          <t>VÄSTRA GÖTALANDS LÄN</t>
        </is>
      </c>
      <c r="G282" t="inlineStr">
        <is>
          <t>VÅRGÅRDA</t>
        </is>
      </c>
      <c r="I282" t="n">
        <v>3.8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s="2" t="inlineStr"/>
    </row>
    <row r="283" ht="15" customHeight="1">
      <c r="A283" t="inlineStr">
        <is>
          <t>A 24782-2026</t>
        </is>
      </c>
      <c r="B283" t="inlineStr">
        <is>
          <t>avverkningsanmälan</t>
        </is>
      </c>
      <c r="C283" t="inlineStr">
        <is>
          <t>Föryngringsavverkning</t>
        </is>
      </c>
      <c r="D283" s="1" t="n">
        <v>46170</v>
      </c>
      <c r="E283" s="1" t="n">
        <v>46322</v>
      </c>
      <c r="F283" t="inlineStr">
        <is>
          <t>VÄSTRA GÖTALANDS LÄN</t>
        </is>
      </c>
      <c r="G283" t="inlineStr">
        <is>
          <t>VÅRGÅRDA</t>
        </is>
      </c>
      <c r="I283" t="n">
        <v>2.1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s="2" t="inlineStr"/>
    </row>
    <row r="284" ht="15" customHeight="1">
      <c r="A284" t="inlineStr">
        <is>
          <t>A 24777-2026</t>
        </is>
      </c>
      <c r="B284" t="inlineStr">
        <is>
          <t>avverkningsanmälan</t>
        </is>
      </c>
      <c r="C284" t="inlineStr">
        <is>
          <t>Föryngringsavverkning</t>
        </is>
      </c>
      <c r="D284" s="1" t="n">
        <v>46170</v>
      </c>
      <c r="E284" s="1" t="n">
        <v>46322</v>
      </c>
      <c r="F284" t="inlineStr">
        <is>
          <t>VÄSTRA GÖTALANDS LÄN</t>
        </is>
      </c>
      <c r="G284" t="inlineStr">
        <is>
          <t>VÅRGÅRDA</t>
        </is>
      </c>
      <c r="I284" t="n">
        <v>1.6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s="2" t="inlineStr"/>
    </row>
    <row r="285" ht="15" customHeight="1">
      <c r="A285" t="inlineStr">
        <is>
          <t>A 46233-2025</t>
        </is>
      </c>
      <c r="B285" t="inlineStr">
        <is>
          <t>avverkningsanmälan</t>
        </is>
      </c>
      <c r="C285" t="inlineStr">
        <is>
          <t>Föryngringsavverkning</t>
        </is>
      </c>
      <c r="D285" s="1" t="n">
        <v>45925</v>
      </c>
      <c r="E285" s="1" t="n">
        <v>46322</v>
      </c>
      <c r="F285" t="inlineStr">
        <is>
          <t>VÄSTRA GÖTALANDS LÄN</t>
        </is>
      </c>
      <c r="G285" t="inlineStr">
        <is>
          <t>VÅRGÅRDA</t>
        </is>
      </c>
      <c r="I285" t="n">
        <v>3.1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s="2" t="inlineStr"/>
    </row>
    <row r="286" ht="15" customHeight="1">
      <c r="A286" t="inlineStr">
        <is>
          <t>A 7734-2022</t>
        </is>
      </c>
      <c r="B286" t="inlineStr">
        <is>
          <t>avverkningsanmälan</t>
        </is>
      </c>
      <c r="C286" t="inlineStr">
        <is>
          <t>Föryngringsavverkning</t>
        </is>
      </c>
      <c r="D286" s="1" t="n">
        <v>44608</v>
      </c>
      <c r="E286" s="1" t="n">
        <v>46322</v>
      </c>
      <c r="F286" t="inlineStr">
        <is>
          <t>VÄSTRA GÖTALANDS LÄN</t>
        </is>
      </c>
      <c r="G286" t="inlineStr">
        <is>
          <t>VÅRGÅRDA</t>
        </is>
      </c>
      <c r="I286" t="n">
        <v>2.7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s="2" t="inlineStr"/>
    </row>
    <row r="287" ht="15" customHeight="1">
      <c r="A287" t="inlineStr">
        <is>
          <t>A 20806-2023</t>
        </is>
      </c>
      <c r="B287" t="inlineStr">
        <is>
          <t>avverkningsanmälan</t>
        </is>
      </c>
      <c r="C287" t="inlineStr">
        <is>
          <t>Föryngringsavverkning</t>
        </is>
      </c>
      <c r="D287" s="1" t="n">
        <v>45058</v>
      </c>
      <c r="E287" s="1" t="n">
        <v>46322</v>
      </c>
      <c r="F287" t="inlineStr">
        <is>
          <t>VÄSTRA GÖTALANDS LÄN</t>
        </is>
      </c>
      <c r="G287" t="inlineStr">
        <is>
          <t>VÅRGÅRDA</t>
        </is>
      </c>
      <c r="I287" t="n">
        <v>4.2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s="2" t="inlineStr"/>
    </row>
    <row r="288" ht="15" customHeight="1">
      <c r="A288" t="inlineStr">
        <is>
          <t>A 48100-2025</t>
        </is>
      </c>
      <c r="B288" t="inlineStr">
        <is>
          <t>avverkningsanmälan</t>
        </is>
      </c>
      <c r="C288" t="inlineStr">
        <is>
          <t>Föryngringsavverkning</t>
        </is>
      </c>
      <c r="D288" s="1" t="n">
        <v>45933</v>
      </c>
      <c r="E288" s="1" t="n">
        <v>46322</v>
      </c>
      <c r="F288" t="inlineStr">
        <is>
          <t>VÄSTRA GÖTALANDS LÄN</t>
        </is>
      </c>
      <c r="G288" t="inlineStr">
        <is>
          <t>VÅRGÅRDA</t>
        </is>
      </c>
      <c r="I288" t="n">
        <v>1.8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s="2" t="inlineStr"/>
    </row>
    <row r="289" ht="15" customHeight="1">
      <c r="A289" t="inlineStr">
        <is>
          <t>A 59225-2023</t>
        </is>
      </c>
      <c r="B289" t="inlineStr">
        <is>
          <t>avverkningsanmälan</t>
        </is>
      </c>
      <c r="C289" t="inlineStr">
        <is>
          <t>Föryngringsavverkning</t>
        </is>
      </c>
      <c r="D289" s="1" t="n">
        <v>45253</v>
      </c>
      <c r="E289" s="1" t="n">
        <v>46322</v>
      </c>
      <c r="F289" t="inlineStr">
        <is>
          <t>VÄSTRA GÖTALANDS LÄN</t>
        </is>
      </c>
      <c r="G289" t="inlineStr">
        <is>
          <t>VÅRGÅRDA</t>
        </is>
      </c>
      <c r="I289" t="n">
        <v>2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s="2" t="inlineStr"/>
    </row>
    <row r="290" ht="15" customHeight="1">
      <c r="A290" t="inlineStr">
        <is>
          <t>A 9863-2024</t>
        </is>
      </c>
      <c r="B290" t="inlineStr">
        <is>
          <t>avverkningsanmälan</t>
        </is>
      </c>
      <c r="C290" t="inlineStr">
        <is>
          <t>Föryngringsavverkning</t>
        </is>
      </c>
      <c r="D290" s="1" t="n">
        <v>45363</v>
      </c>
      <c r="E290" s="1" t="n">
        <v>46322</v>
      </c>
      <c r="F290" t="inlineStr">
        <is>
          <t>VÄSTRA GÖTALANDS LÄN</t>
        </is>
      </c>
      <c r="G290" t="inlineStr">
        <is>
          <t>VÅRGÅRDA</t>
        </is>
      </c>
      <c r="I290" t="n">
        <v>0.8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s="2" t="inlineStr"/>
    </row>
    <row r="291" ht="15" customHeight="1">
      <c r="A291" t="inlineStr">
        <is>
          <t>A 5523-2023</t>
        </is>
      </c>
      <c r="B291" t="inlineStr">
        <is>
          <t>avverkningsanmälan</t>
        </is>
      </c>
      <c r="C291" t="inlineStr">
        <is>
          <t>Föryngringsavverkning</t>
        </is>
      </c>
      <c r="D291" s="1" t="n">
        <v>44960</v>
      </c>
      <c r="E291" s="1" t="n">
        <v>46322</v>
      </c>
      <c r="F291" t="inlineStr">
        <is>
          <t>VÄSTRA GÖTALANDS LÄN</t>
        </is>
      </c>
      <c r="G291" t="inlineStr">
        <is>
          <t>VÅRGÅRDA</t>
        </is>
      </c>
      <c r="I291" t="n">
        <v>2.4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s="2" t="inlineStr"/>
    </row>
    <row r="292" ht="15" customHeight="1">
      <c r="A292" t="inlineStr">
        <is>
          <t>A 11793-2024</t>
        </is>
      </c>
      <c r="B292" t="inlineStr">
        <is>
          <t>avverkningsanmälan</t>
        </is>
      </c>
      <c r="C292" t="inlineStr">
        <is>
          <t>Föryngringsavverkning</t>
        </is>
      </c>
      <c r="D292" s="1" t="n">
        <v>45375</v>
      </c>
      <c r="E292" s="1" t="n">
        <v>46322</v>
      </c>
      <c r="F292" t="inlineStr">
        <is>
          <t>VÄSTRA GÖTALANDS LÄN</t>
        </is>
      </c>
      <c r="G292" t="inlineStr">
        <is>
          <t>VÅRGÅRDA</t>
        </is>
      </c>
      <c r="I292" t="n">
        <v>0.4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s="2" t="inlineStr"/>
    </row>
    <row r="293" ht="15" customHeight="1">
      <c r="A293" t="inlineStr">
        <is>
          <t>A 60380-2022</t>
        </is>
      </c>
      <c r="B293" t="inlineStr">
        <is>
          <t>avverkningsanmälan</t>
        </is>
      </c>
      <c r="C293" t="inlineStr">
        <is>
          <t>Föryngringsavverkning</t>
        </is>
      </c>
      <c r="D293" s="1" t="n">
        <v>44910</v>
      </c>
      <c r="E293" s="1" t="n">
        <v>46322</v>
      </c>
      <c r="F293" t="inlineStr">
        <is>
          <t>VÄSTRA GÖTALANDS LÄN</t>
        </is>
      </c>
      <c r="G293" t="inlineStr">
        <is>
          <t>VÅRGÅRDA</t>
        </is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s="2" t="inlineStr"/>
    </row>
    <row r="294" ht="15" customHeight="1">
      <c r="A294" t="inlineStr">
        <is>
          <t>A 8983-2024</t>
        </is>
      </c>
      <c r="B294" t="inlineStr">
        <is>
          <t>avverkningsanmälan</t>
        </is>
      </c>
      <c r="C294" t="inlineStr">
        <is>
          <t>Föryngringsavverkning</t>
        </is>
      </c>
      <c r="D294" s="1" t="n">
        <v>45356</v>
      </c>
      <c r="E294" s="1" t="n">
        <v>46322</v>
      </c>
      <c r="F294" t="inlineStr">
        <is>
          <t>VÄSTRA GÖTALANDS LÄN</t>
        </is>
      </c>
      <c r="G294" t="inlineStr">
        <is>
          <t>VÅRGÅRDA</t>
        </is>
      </c>
      <c r="I294" t="n">
        <v>2.1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s="2" t="inlineStr"/>
    </row>
    <row r="295" ht="15" customHeight="1">
      <c r="A295" t="inlineStr">
        <is>
          <t>A 25875-2026</t>
        </is>
      </c>
      <c r="B295" t="inlineStr">
        <is>
          <t>avverkningsanmälan</t>
        </is>
      </c>
      <c r="C295" t="inlineStr">
        <is>
          <t>Föryngringsavverkning</t>
        </is>
      </c>
      <c r="D295" s="1" t="n">
        <v>46178</v>
      </c>
      <c r="E295" s="1" t="n">
        <v>46322</v>
      </c>
      <c r="F295" t="inlineStr">
        <is>
          <t>VÄSTRA GÖTALANDS LÄN</t>
        </is>
      </c>
      <c r="G295" t="inlineStr">
        <is>
          <t>VÅRGÅRDA</t>
        </is>
      </c>
      <c r="I295" t="n">
        <v>1.5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s="2" t="inlineStr"/>
    </row>
    <row r="296" ht="15" customHeight="1">
      <c r="A296" t="inlineStr">
        <is>
          <t>A 50945-2023</t>
        </is>
      </c>
      <c r="B296" t="inlineStr">
        <is>
          <t>avverkningsanmälan</t>
        </is>
      </c>
      <c r="C296" t="inlineStr">
        <is>
          <t>Föryngringsavverkning</t>
        </is>
      </c>
      <c r="D296" s="1" t="n">
        <v>45210</v>
      </c>
      <c r="E296" s="1" t="n">
        <v>46322</v>
      </c>
      <c r="F296" t="inlineStr">
        <is>
          <t>VÄSTRA GÖTALANDS LÄN</t>
        </is>
      </c>
      <c r="G296" t="inlineStr">
        <is>
          <t>VÅRGÅRDA</t>
        </is>
      </c>
      <c r="H296" t="inlineStr">
        <is>
          <t>Allmännings- och besparingsskogar</t>
        </is>
      </c>
      <c r="I296" t="n">
        <v>1.8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s="2" t="inlineStr"/>
    </row>
    <row r="297" ht="15" customHeight="1">
      <c r="A297" t="inlineStr">
        <is>
          <t>A 40687-2026</t>
        </is>
      </c>
      <c r="B297" t="inlineStr">
        <is>
          <t>avverkningsanmälan</t>
        </is>
      </c>
      <c r="C297" t="inlineStr">
        <is>
          <t>Föryngringsavverkning</t>
        </is>
      </c>
      <c r="D297" s="1" t="n">
        <v>46296</v>
      </c>
      <c r="E297" s="1" t="n">
        <v>46322</v>
      </c>
      <c r="F297" t="inlineStr">
        <is>
          <t>VÄSTRA GÖTALANDS LÄN</t>
        </is>
      </c>
      <c r="G297" t="inlineStr">
        <is>
          <t>VÅRGÅRDA</t>
        </is>
      </c>
      <c r="I297" t="n">
        <v>0.6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s="2" t="inlineStr"/>
    </row>
    <row r="298" ht="15" customHeight="1">
      <c r="A298" t="inlineStr">
        <is>
          <t>A 22515-2022</t>
        </is>
      </c>
      <c r="B298" t="inlineStr">
        <is>
          <t>avverkningsanmälan</t>
        </is>
      </c>
      <c r="C298" t="inlineStr">
        <is>
          <t>Föryngringsavverkning</t>
        </is>
      </c>
      <c r="D298" s="1" t="n">
        <v>44713</v>
      </c>
      <c r="E298" s="1" t="n">
        <v>46322</v>
      </c>
      <c r="F298" t="inlineStr">
        <is>
          <t>VÄSTRA GÖTALANDS LÄN</t>
        </is>
      </c>
      <c r="G298" t="inlineStr">
        <is>
          <t>VÅRGÅRDA</t>
        </is>
      </c>
      <c r="I298" t="n">
        <v>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s="2" t="inlineStr"/>
    </row>
    <row r="299" ht="15" customHeight="1">
      <c r="A299" t="inlineStr">
        <is>
          <t>A 22517-2022</t>
        </is>
      </c>
      <c r="B299" t="inlineStr">
        <is>
          <t>avverkningsanmälan</t>
        </is>
      </c>
      <c r="C299" t="inlineStr">
        <is>
          <t>Föryngringsavverkning</t>
        </is>
      </c>
      <c r="D299" s="1" t="n">
        <v>44713</v>
      </c>
      <c r="E299" s="1" t="n">
        <v>46322</v>
      </c>
      <c r="F299" t="inlineStr">
        <is>
          <t>VÄSTRA GÖTALANDS LÄN</t>
        </is>
      </c>
      <c r="G299" t="inlineStr">
        <is>
          <t>VÅRGÅRDA</t>
        </is>
      </c>
      <c r="I299" t="n">
        <v>2.3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s="2" t="inlineStr"/>
    </row>
    <row r="300" ht="15" customHeight="1">
      <c r="A300" t="inlineStr">
        <is>
          <t>A 39000-2023</t>
        </is>
      </c>
      <c r="B300" t="inlineStr">
        <is>
          <t>avverkningsanmälan</t>
        </is>
      </c>
      <c r="C300" t="inlineStr">
        <is>
          <t>Föryngringsavverkning</t>
        </is>
      </c>
      <c r="D300" s="1" t="n">
        <v>45163</v>
      </c>
      <c r="E300" s="1" t="n">
        <v>46322</v>
      </c>
      <c r="F300" t="inlineStr">
        <is>
          <t>VÄSTRA GÖTALANDS LÄN</t>
        </is>
      </c>
      <c r="G300" t="inlineStr">
        <is>
          <t>VÅRGÅRDA</t>
        </is>
      </c>
      <c r="I300" t="n">
        <v>0.9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s="2" t="inlineStr"/>
    </row>
    <row r="301" ht="15" customHeight="1">
      <c r="A301" t="inlineStr">
        <is>
          <t>A 55240-2023</t>
        </is>
      </c>
      <c r="B301" t="inlineStr">
        <is>
          <t>avverkningsanmälan</t>
        </is>
      </c>
      <c r="C301" t="inlineStr">
        <is>
          <t>Föryngringsavverkning</t>
        </is>
      </c>
      <c r="D301" s="1" t="n">
        <v>45237</v>
      </c>
      <c r="E301" s="1" t="n">
        <v>46322</v>
      </c>
      <c r="F301" t="inlineStr">
        <is>
          <t>VÄSTRA GÖTALANDS LÄN</t>
        </is>
      </c>
      <c r="G301" t="inlineStr">
        <is>
          <t>VÅRGÅRDA</t>
        </is>
      </c>
      <c r="I301" t="n">
        <v>0.7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s="2" t="inlineStr"/>
    </row>
    <row r="302" ht="15" customHeight="1">
      <c r="A302" t="inlineStr">
        <is>
          <t>A 50053-2024</t>
        </is>
      </c>
      <c r="B302" t="inlineStr">
        <is>
          <t>avverkningsanmälan</t>
        </is>
      </c>
      <c r="C302" t="inlineStr">
        <is>
          <t>Föryngringsavverkning</t>
        </is>
      </c>
      <c r="D302" s="1" t="n">
        <v>45600</v>
      </c>
      <c r="E302" s="1" t="n">
        <v>46322</v>
      </c>
      <c r="F302" t="inlineStr">
        <is>
          <t>VÄSTRA GÖTALANDS LÄN</t>
        </is>
      </c>
      <c r="G302" t="inlineStr">
        <is>
          <t>VÅRGÅRDA</t>
        </is>
      </c>
      <c r="I302" t="n">
        <v>1.6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s="2" t="inlineStr"/>
    </row>
    <row r="303" ht="15" customHeight="1">
      <c r="A303" t="inlineStr">
        <is>
          <t>A 58074-2022</t>
        </is>
      </c>
      <c r="B303" t="inlineStr">
        <is>
          <t>avverkningsanmälan</t>
        </is>
      </c>
      <c r="C303" t="inlineStr">
        <is>
          <t>Föryngringsavverkning</t>
        </is>
      </c>
      <c r="D303" s="1" t="n">
        <v>44900</v>
      </c>
      <c r="E303" s="1" t="n">
        <v>46322</v>
      </c>
      <c r="F303" t="inlineStr">
        <is>
          <t>VÄSTRA GÖTALANDS LÄN</t>
        </is>
      </c>
      <c r="G303" t="inlineStr">
        <is>
          <t>VÅRGÅRDA</t>
        </is>
      </c>
      <c r="I303" t="n">
        <v>0.7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s="2" t="inlineStr"/>
    </row>
    <row r="304" ht="15" customHeight="1">
      <c r="A304" t="inlineStr">
        <is>
          <t>A 11797-2024</t>
        </is>
      </c>
      <c r="B304" t="inlineStr">
        <is>
          <t>avverkningsanmälan</t>
        </is>
      </c>
      <c r="C304" t="inlineStr">
        <is>
          <t>Föryngringsavverkning</t>
        </is>
      </c>
      <c r="D304" s="1" t="n">
        <v>45375</v>
      </c>
      <c r="E304" s="1" t="n">
        <v>46322</v>
      </c>
      <c r="F304" t="inlineStr">
        <is>
          <t>VÄSTRA GÖTALANDS LÄN</t>
        </is>
      </c>
      <c r="G304" t="inlineStr">
        <is>
          <t>VÅRGÅRDA</t>
        </is>
      </c>
      <c r="I304" t="n">
        <v>0.5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s="2" t="inlineStr"/>
    </row>
    <row r="305" ht="15" customHeight="1">
      <c r="A305" t="inlineStr">
        <is>
          <t>A 35075-2026</t>
        </is>
      </c>
      <c r="B305" t="inlineStr">
        <is>
          <t>avverkningsanmälan</t>
        </is>
      </c>
      <c r="C305" t="inlineStr">
        <is>
          <t>Avverkning för annat ändamål</t>
        </is>
      </c>
      <c r="D305" s="1" t="n">
        <v>46259</v>
      </c>
      <c r="E305" s="1" t="n">
        <v>46322</v>
      </c>
      <c r="F305" t="inlineStr">
        <is>
          <t>VÄSTRA GÖTALANDS LÄN</t>
        </is>
      </c>
      <c r="G305" t="inlineStr">
        <is>
          <t>VÅRGÅRDA</t>
        </is>
      </c>
      <c r="I305" t="n">
        <v>1.9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s="2" t="inlineStr"/>
    </row>
    <row r="306" ht="15" customHeight="1">
      <c r="A306" t="inlineStr">
        <is>
          <t>A 53213-2024</t>
        </is>
      </c>
      <c r="B306" t="inlineStr">
        <is>
          <t>avverkningsanmälan</t>
        </is>
      </c>
      <c r="C306" t="inlineStr">
        <is>
          <t>Föryngringsavverkning</t>
        </is>
      </c>
      <c r="D306" s="1" t="n">
        <v>45612</v>
      </c>
      <c r="E306" s="1" t="n">
        <v>46322</v>
      </c>
      <c r="F306" t="inlineStr">
        <is>
          <t>VÄSTRA GÖTALANDS LÄN</t>
        </is>
      </c>
      <c r="G306" t="inlineStr">
        <is>
          <t>VÅRGÅRDA</t>
        </is>
      </c>
      <c r="I306" t="n">
        <v>4.5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s="2" t="inlineStr"/>
    </row>
    <row r="307" ht="15" customHeight="1">
      <c r="A307" t="inlineStr">
        <is>
          <t>A 35242-2026</t>
        </is>
      </c>
      <c r="B307" t="inlineStr">
        <is>
          <t>avverkningsanmälan</t>
        </is>
      </c>
      <c r="C307" t="inlineStr">
        <is>
          <t>Föryngringsavverkning</t>
        </is>
      </c>
      <c r="D307" s="1" t="n">
        <v>46260</v>
      </c>
      <c r="E307" s="1" t="n">
        <v>46322</v>
      </c>
      <c r="F307" t="inlineStr">
        <is>
          <t>VÄSTRA GÖTALANDS LÄN</t>
        </is>
      </c>
      <c r="G307" t="inlineStr">
        <is>
          <t>VÅRGÅRDA</t>
        </is>
      </c>
      <c r="I307" t="n">
        <v>1.5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s="2" t="inlineStr"/>
    </row>
    <row r="308" ht="15" customHeight="1">
      <c r="A308" t="inlineStr">
        <is>
          <t>A 46747-2023</t>
        </is>
      </c>
      <c r="B308" t="inlineStr">
        <is>
          <t>avverkningsanmälan</t>
        </is>
      </c>
      <c r="C308" t="inlineStr">
        <is>
          <t>Föryngringsavverkning</t>
        </is>
      </c>
      <c r="D308" s="1" t="n">
        <v>45198</v>
      </c>
      <c r="E308" s="1" t="n">
        <v>46322</v>
      </c>
      <c r="F308" t="inlineStr">
        <is>
          <t>VÄSTRA GÖTALANDS LÄN</t>
        </is>
      </c>
      <c r="G308" t="inlineStr">
        <is>
          <t>VÅRGÅRDA</t>
        </is>
      </c>
      <c r="H308" t="inlineStr">
        <is>
          <t>Kyrkan</t>
        </is>
      </c>
      <c r="I308" t="n">
        <v>6.6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s="2" t="inlineStr"/>
    </row>
    <row r="309" ht="15" customHeight="1">
      <c r="A309" t="inlineStr">
        <is>
          <t>A 34133-2022</t>
        </is>
      </c>
      <c r="B309" t="inlineStr">
        <is>
          <t>avverkningsanmälan</t>
        </is>
      </c>
      <c r="C309" t="inlineStr">
        <is>
          <t>Föryngringsavverkning</t>
        </is>
      </c>
      <c r="D309" s="1" t="n">
        <v>44791</v>
      </c>
      <c r="E309" s="1" t="n">
        <v>46322</v>
      </c>
      <c r="F309" t="inlineStr">
        <is>
          <t>VÄSTRA GÖTALANDS LÄN</t>
        </is>
      </c>
      <c r="G309" t="inlineStr">
        <is>
          <t>VÅRGÅRDA</t>
        </is>
      </c>
      <c r="I309" t="n">
        <v>3.8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s="2" t="inlineStr"/>
    </row>
    <row r="310" ht="15" customHeight="1">
      <c r="A310" t="inlineStr">
        <is>
          <t>A 44668-2023</t>
        </is>
      </c>
      <c r="B310" t="inlineStr">
        <is>
          <t>avverkningsanmälan</t>
        </is>
      </c>
      <c r="C310" t="inlineStr">
        <is>
          <t>Föryngringsavverkning</t>
        </is>
      </c>
      <c r="D310" s="1" t="n">
        <v>45189</v>
      </c>
      <c r="E310" s="1" t="n">
        <v>46322</v>
      </c>
      <c r="F310" t="inlineStr">
        <is>
          <t>VÄSTRA GÖTALANDS LÄN</t>
        </is>
      </c>
      <c r="G310" t="inlineStr">
        <is>
          <t>VÅRGÅRDA</t>
        </is>
      </c>
      <c r="I310" t="n">
        <v>1.1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s="2" t="inlineStr"/>
    </row>
    <row r="311" ht="15" customHeight="1">
      <c r="A311" t="inlineStr">
        <is>
          <t>A 42401-2026</t>
        </is>
      </c>
      <c r="B311" t="inlineStr">
        <is>
          <t>avverkningsanmälan</t>
        </is>
      </c>
      <c r="C311" t="inlineStr">
        <is>
          <t>Föryngringsavverkning</t>
        </is>
      </c>
      <c r="D311" s="1" t="n">
        <v>46307</v>
      </c>
      <c r="E311" s="1" t="n">
        <v>46322</v>
      </c>
      <c r="F311" t="inlineStr">
        <is>
          <t>VÄSTRA GÖTALANDS LÄN</t>
        </is>
      </c>
      <c r="G311" t="inlineStr">
        <is>
          <t>VÅRGÅRDA</t>
        </is>
      </c>
      <c r="I311" t="n">
        <v>0.3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s="2" t="inlineStr"/>
    </row>
    <row r="312" ht="15" customHeight="1">
      <c r="A312" t="inlineStr">
        <is>
          <t>A 47583-2024</t>
        </is>
      </c>
      <c r="B312" t="inlineStr">
        <is>
          <t>avverkningsanmälan</t>
        </is>
      </c>
      <c r="C312" t="inlineStr">
        <is>
          <t>Föryngringsavverkning</t>
        </is>
      </c>
      <c r="D312" s="1" t="n">
        <v>45587</v>
      </c>
      <c r="E312" s="1" t="n">
        <v>46322</v>
      </c>
      <c r="F312" t="inlineStr">
        <is>
          <t>VÄSTRA GÖTALANDS LÄN</t>
        </is>
      </c>
      <c r="G312" t="inlineStr">
        <is>
          <t>VÅRGÅRDA</t>
        </is>
      </c>
      <c r="H312" t="inlineStr">
        <is>
          <t>Kyrkan</t>
        </is>
      </c>
      <c r="I312" t="n">
        <v>1.3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s="2" t="inlineStr"/>
    </row>
    <row r="313" ht="15" customHeight="1">
      <c r="A313" t="inlineStr">
        <is>
          <t>A 46237-2025</t>
        </is>
      </c>
      <c r="B313" t="inlineStr">
        <is>
          <t>avverkningsanmälan</t>
        </is>
      </c>
      <c r="C313" t="inlineStr">
        <is>
          <t>Föryngringsavverkning</t>
        </is>
      </c>
      <c r="D313" s="1" t="n">
        <v>45925</v>
      </c>
      <c r="E313" s="1" t="n">
        <v>46322</v>
      </c>
      <c r="F313" t="inlineStr">
        <is>
          <t>VÄSTRA GÖTALANDS LÄN</t>
        </is>
      </c>
      <c r="G313" t="inlineStr">
        <is>
          <t>VÅRGÅRDA</t>
        </is>
      </c>
      <c r="I313" t="n">
        <v>14.2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s="2" t="inlineStr"/>
    </row>
    <row r="314" ht="15" customHeight="1">
      <c r="A314" t="inlineStr">
        <is>
          <t>A 61904-2022</t>
        </is>
      </c>
      <c r="B314" t="inlineStr">
        <is>
          <t>avverkningsanmälan</t>
        </is>
      </c>
      <c r="C314" t="inlineStr">
        <is>
          <t>Föryngringsavverkning</t>
        </is>
      </c>
      <c r="D314" s="1" t="n">
        <v>44917</v>
      </c>
      <c r="E314" s="1" t="n">
        <v>46322</v>
      </c>
      <c r="F314" t="inlineStr">
        <is>
          <t>VÄSTRA GÖTALANDS LÄN</t>
        </is>
      </c>
      <c r="G314" t="inlineStr">
        <is>
          <t>VÅRGÅRDA</t>
        </is>
      </c>
      <c r="H314" t="inlineStr">
        <is>
          <t>Kyrkan</t>
        </is>
      </c>
      <c r="I314" t="n">
        <v>4.3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s="2" t="inlineStr"/>
    </row>
    <row r="315" ht="15" customHeight="1">
      <c r="A315" t="inlineStr">
        <is>
          <t>A 61907-2022</t>
        </is>
      </c>
      <c r="B315" t="inlineStr">
        <is>
          <t>avverkningsanmälan</t>
        </is>
      </c>
      <c r="C315" t="inlineStr">
        <is>
          <t>Föryngringsavverkning</t>
        </is>
      </c>
      <c r="D315" s="1" t="n">
        <v>44917</v>
      </c>
      <c r="E315" s="1" t="n">
        <v>46322</v>
      </c>
      <c r="F315" t="inlineStr">
        <is>
          <t>VÄSTRA GÖTALANDS LÄN</t>
        </is>
      </c>
      <c r="G315" t="inlineStr">
        <is>
          <t>VÅRGÅRDA</t>
        </is>
      </c>
      <c r="H315" t="inlineStr">
        <is>
          <t>Kyrkan</t>
        </is>
      </c>
      <c r="I315" t="n">
        <v>3.2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s="2" t="inlineStr"/>
    </row>
    <row r="316" ht="15" customHeight="1">
      <c r="A316" t="inlineStr">
        <is>
          <t>A 4065-2023</t>
        </is>
      </c>
      <c r="B316" t="inlineStr">
        <is>
          <t>avverkningsanmälan</t>
        </is>
      </c>
      <c r="C316" t="inlineStr">
        <is>
          <t>Föryngringsavverkning</t>
        </is>
      </c>
      <c r="D316" s="1" t="n">
        <v>44952</v>
      </c>
      <c r="E316" s="1" t="n">
        <v>46322</v>
      </c>
      <c r="F316" t="inlineStr">
        <is>
          <t>VÄSTRA GÖTALANDS LÄN</t>
        </is>
      </c>
      <c r="G316" t="inlineStr">
        <is>
          <t>VÅRGÅRDA</t>
        </is>
      </c>
      <c r="I316" t="n">
        <v>1.6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s="2" t="inlineStr"/>
    </row>
    <row r="317" ht="15" customHeight="1">
      <c r="A317" t="inlineStr">
        <is>
          <t>A 7962-2024</t>
        </is>
      </c>
      <c r="B317" t="inlineStr">
        <is>
          <t>avverkningsanmälan</t>
        </is>
      </c>
      <c r="C317" t="inlineStr">
        <is>
          <t>Föryngringsavverkning</t>
        </is>
      </c>
      <c r="D317" s="1" t="n">
        <v>45350</v>
      </c>
      <c r="E317" s="1" t="n">
        <v>46322</v>
      </c>
      <c r="F317" t="inlineStr">
        <is>
          <t>VÄSTRA GÖTALANDS LÄN</t>
        </is>
      </c>
      <c r="G317" t="inlineStr">
        <is>
          <t>VÅRGÅRDA</t>
        </is>
      </c>
      <c r="I317" t="n">
        <v>1.9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s="2" t="inlineStr"/>
    </row>
    <row r="318" ht="15" customHeight="1">
      <c r="A318" t="inlineStr">
        <is>
          <t>A 35816-2026</t>
        </is>
      </c>
      <c r="B318" t="inlineStr">
        <is>
          <t>avverkningsanmälan</t>
        </is>
      </c>
      <c r="C318" t="inlineStr">
        <is>
          <t>Föryngringsavverkning</t>
        </is>
      </c>
      <c r="D318" s="1" t="n">
        <v>46265</v>
      </c>
      <c r="E318" s="1" t="n">
        <v>46322</v>
      </c>
      <c r="F318" t="inlineStr">
        <is>
          <t>VÄSTRA GÖTALANDS LÄN</t>
        </is>
      </c>
      <c r="G318" t="inlineStr">
        <is>
          <t>VÅRGÅRDA</t>
        </is>
      </c>
      <c r="I318" t="n">
        <v>4.6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s="2" t="inlineStr"/>
    </row>
    <row r="319" ht="15" customHeight="1">
      <c r="A319" t="inlineStr">
        <is>
          <t>A 65946-2021</t>
        </is>
      </c>
      <c r="B319" t="inlineStr">
        <is>
          <t>avverkningsanmälan</t>
        </is>
      </c>
      <c r="C319" t="inlineStr">
        <is>
          <t>Föryngringsavverkning</t>
        </is>
      </c>
      <c r="D319" s="1" t="n">
        <v>44517</v>
      </c>
      <c r="E319" s="1" t="n">
        <v>46322</v>
      </c>
      <c r="F319" t="inlineStr">
        <is>
          <t>VÄSTRA GÖTALANDS LÄN</t>
        </is>
      </c>
      <c r="G319" t="inlineStr">
        <is>
          <t>VÅRGÅRDA</t>
        </is>
      </c>
      <c r="I319" t="n">
        <v>0.7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s="2" t="inlineStr"/>
    </row>
    <row r="320" ht="15" customHeight="1">
      <c r="A320" t="inlineStr">
        <is>
          <t>A 48718-2023</t>
        </is>
      </c>
      <c r="B320" t="inlineStr">
        <is>
          <t>avverkningsanmälan</t>
        </is>
      </c>
      <c r="C320" t="inlineStr">
        <is>
          <t>Föryngringsavverkning</t>
        </is>
      </c>
      <c r="D320" s="1" t="n">
        <v>45208</v>
      </c>
      <c r="E320" s="1" t="n">
        <v>46322</v>
      </c>
      <c r="F320" t="inlineStr">
        <is>
          <t>VÄSTRA GÖTALANDS LÄN</t>
        </is>
      </c>
      <c r="G320" t="inlineStr">
        <is>
          <t>VÅRGÅRDA</t>
        </is>
      </c>
      <c r="I320" t="n">
        <v>0.9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s="2" t="inlineStr"/>
    </row>
    <row r="321" ht="15" customHeight="1">
      <c r="A321" t="inlineStr">
        <is>
          <t>A 42889-2026</t>
        </is>
      </c>
      <c r="B321" t="inlineStr">
        <is>
          <t>avverkningsanmälan</t>
        </is>
      </c>
      <c r="C321" t="inlineStr">
        <is>
          <t>Föryngringsavverkning</t>
        </is>
      </c>
      <c r="D321" s="1" t="n">
        <v>46310</v>
      </c>
      <c r="E321" s="1" t="n">
        <v>46322</v>
      </c>
      <c r="F321" t="inlineStr">
        <is>
          <t>VÄSTRA GÖTALANDS LÄN</t>
        </is>
      </c>
      <c r="G321" t="inlineStr">
        <is>
          <t>VÅRGÅRDA</t>
        </is>
      </c>
      <c r="I321" t="n">
        <v>0.6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s="2" t="inlineStr"/>
    </row>
    <row r="322" ht="15" customHeight="1">
      <c r="A322" t="inlineStr">
        <is>
          <t>A 616-2025</t>
        </is>
      </c>
      <c r="B322" t="inlineStr">
        <is>
          <t>avverkningsanmälan</t>
        </is>
      </c>
      <c r="C322" t="inlineStr">
        <is>
          <t>Föryngringsavverkning</t>
        </is>
      </c>
      <c r="D322" s="1" t="n">
        <v>45664</v>
      </c>
      <c r="E322" s="1" t="n">
        <v>46322</v>
      </c>
      <c r="F322" t="inlineStr">
        <is>
          <t>VÄSTRA GÖTALANDS LÄN</t>
        </is>
      </c>
      <c r="G322" t="inlineStr">
        <is>
          <t>VÅRGÅRDA</t>
        </is>
      </c>
      <c r="I322" t="n">
        <v>10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s="2" t="inlineStr"/>
    </row>
    <row r="323" ht="15" customHeight="1">
      <c r="A323" t="inlineStr">
        <is>
          <t>A 50160-2022</t>
        </is>
      </c>
      <c r="B323" t="inlineStr">
        <is>
          <t>avverkningsanmälan</t>
        </is>
      </c>
      <c r="C323" t="inlineStr">
        <is>
          <t>Föryngringsavverkning</t>
        </is>
      </c>
      <c r="D323" s="1" t="n">
        <v>44865</v>
      </c>
      <c r="E323" s="1" t="n">
        <v>46322</v>
      </c>
      <c r="F323" t="inlineStr">
        <is>
          <t>VÄSTRA GÖTALANDS LÄN</t>
        </is>
      </c>
      <c r="G323" t="inlineStr">
        <is>
          <t>VÅRGÅRDA</t>
        </is>
      </c>
      <c r="I323" t="n">
        <v>0.9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s="2" t="inlineStr"/>
    </row>
    <row r="324" ht="15" customHeight="1">
      <c r="A324" t="inlineStr">
        <is>
          <t>A 36353-2026</t>
        </is>
      </c>
      <c r="B324" t="inlineStr">
        <is>
          <t>avverkningsanmälan</t>
        </is>
      </c>
      <c r="C324" t="inlineStr">
        <is>
          <t>Föryngringsavverkning</t>
        </is>
      </c>
      <c r="D324" s="1" t="n">
        <v>46268</v>
      </c>
      <c r="E324" s="1" t="n">
        <v>46322</v>
      </c>
      <c r="F324" t="inlineStr">
        <is>
          <t>VÄSTRA GÖTALANDS LÄN</t>
        </is>
      </c>
      <c r="G324" t="inlineStr">
        <is>
          <t>VÅRGÅRDA</t>
        </is>
      </c>
      <c r="I324" t="n">
        <v>3.6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s="2" t="inlineStr"/>
    </row>
    <row r="325" ht="15" customHeight="1">
      <c r="A325" t="inlineStr">
        <is>
          <t>A 42887-2026</t>
        </is>
      </c>
      <c r="B325" t="inlineStr">
        <is>
          <t>avverkningsanmälan</t>
        </is>
      </c>
      <c r="C325" t="inlineStr">
        <is>
          <t>Föryngringsavverkning</t>
        </is>
      </c>
      <c r="D325" s="1" t="n">
        <v>46310</v>
      </c>
      <c r="E325" s="1" t="n">
        <v>46322</v>
      </c>
      <c r="F325" t="inlineStr">
        <is>
          <t>VÄSTRA GÖTALANDS LÄN</t>
        </is>
      </c>
      <c r="G325" t="inlineStr">
        <is>
          <t>VÅRGÅRDA</t>
        </is>
      </c>
      <c r="I325" t="n">
        <v>0.9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s="2" t="inlineStr"/>
    </row>
    <row r="326" ht="15" customHeight="1">
      <c r="A326" t="inlineStr">
        <is>
          <t>A 42888-2026</t>
        </is>
      </c>
      <c r="B326" t="inlineStr">
        <is>
          <t>avverkningsanmälan</t>
        </is>
      </c>
      <c r="C326" t="inlineStr">
        <is>
          <t>Föryngringsavverkning</t>
        </is>
      </c>
      <c r="D326" s="1" t="n">
        <v>46310</v>
      </c>
      <c r="E326" s="1" t="n">
        <v>46322</v>
      </c>
      <c r="F326" t="inlineStr">
        <is>
          <t>VÄSTRA GÖTALANDS LÄN</t>
        </is>
      </c>
      <c r="G326" t="inlineStr">
        <is>
          <t>VÅRGÅRDA</t>
        </is>
      </c>
      <c r="I326" t="n">
        <v>1.6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s="2" t="inlineStr"/>
    </row>
    <row r="327" ht="15" customHeight="1">
      <c r="A327" t="inlineStr">
        <is>
          <t>A 14655-2022</t>
        </is>
      </c>
      <c r="B327" t="inlineStr">
        <is>
          <t>avverkningsanmälan</t>
        </is>
      </c>
      <c r="C327" t="inlineStr">
        <is>
          <t>Föryngringsavverkning</t>
        </is>
      </c>
      <c r="D327" s="1" t="n">
        <v>44655</v>
      </c>
      <c r="E327" s="1" t="n">
        <v>46322</v>
      </c>
      <c r="F327" t="inlineStr">
        <is>
          <t>VÄSTRA GÖTALANDS LÄN</t>
        </is>
      </c>
      <c r="G327" t="inlineStr">
        <is>
          <t>VÅRGÅRDA</t>
        </is>
      </c>
      <c r="I327" t="n">
        <v>2.7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s="2" t="inlineStr"/>
    </row>
    <row r="328" ht="15" customHeight="1">
      <c r="A328" t="inlineStr">
        <is>
          <t>A 54587-2023</t>
        </is>
      </c>
      <c r="B328" t="inlineStr">
        <is>
          <t>avverkningsanmälan</t>
        </is>
      </c>
      <c r="C328" t="inlineStr">
        <is>
          <t>Avverkning för annat ändamål</t>
        </is>
      </c>
      <c r="D328" s="1" t="n">
        <v>45233</v>
      </c>
      <c r="E328" s="1" t="n">
        <v>46322</v>
      </c>
      <c r="F328" t="inlineStr">
        <is>
          <t>VÄSTRA GÖTALANDS LÄN</t>
        </is>
      </c>
      <c r="G328" t="inlineStr">
        <is>
          <t>VÅRGÅRDA</t>
        </is>
      </c>
      <c r="I328" t="n">
        <v>0.5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s="2" t="inlineStr"/>
    </row>
    <row r="329" ht="15" customHeight="1">
      <c r="A329" t="inlineStr">
        <is>
          <t>A 16284-2025</t>
        </is>
      </c>
      <c r="B329" t="inlineStr">
        <is>
          <t>avverkningsanmälan</t>
        </is>
      </c>
      <c r="C329" t="inlineStr">
        <is>
          <t>Föryngringsavverkning</t>
        </is>
      </c>
      <c r="D329" s="1" t="n">
        <v>45751</v>
      </c>
      <c r="E329" s="1" t="n">
        <v>46322</v>
      </c>
      <c r="F329" t="inlineStr">
        <is>
          <t>VÄSTRA GÖTALANDS LÄN</t>
        </is>
      </c>
      <c r="G329" t="inlineStr">
        <is>
          <t>VÅRGÅRDA</t>
        </is>
      </c>
      <c r="I329" t="n">
        <v>0.8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s="2" t="inlineStr"/>
    </row>
    <row r="330" ht="15" customHeight="1">
      <c r="A330" t="inlineStr">
        <is>
          <t>A 36421-2026</t>
        </is>
      </c>
      <c r="B330" t="inlineStr">
        <is>
          <t>avverkningsanmälan</t>
        </is>
      </c>
      <c r="C330" t="inlineStr">
        <is>
          <t>Avverkning för annat ändamål</t>
        </is>
      </c>
      <c r="D330" s="1" t="n">
        <v>46269</v>
      </c>
      <c r="E330" s="1" t="n">
        <v>46322</v>
      </c>
      <c r="F330" t="inlineStr">
        <is>
          <t>VÄSTRA GÖTALANDS LÄN</t>
        </is>
      </c>
      <c r="G330" t="inlineStr">
        <is>
          <t>VÅRGÅRDA</t>
        </is>
      </c>
      <c r="I330" t="n">
        <v>2.9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s="2" t="inlineStr"/>
    </row>
    <row r="331" ht="15" customHeight="1">
      <c r="A331" t="inlineStr">
        <is>
          <t>A 55630-2025</t>
        </is>
      </c>
      <c r="B331" t="inlineStr">
        <is>
          <t>avverkningsanmälan</t>
        </is>
      </c>
      <c r="C331" t="inlineStr">
        <is>
          <t>Föryngringsavverkning</t>
        </is>
      </c>
      <c r="D331" s="1" t="n">
        <v>45972</v>
      </c>
      <c r="E331" s="1" t="n">
        <v>46322</v>
      </c>
      <c r="F331" t="inlineStr">
        <is>
          <t>VÄSTRA GÖTALANDS LÄN</t>
        </is>
      </c>
      <c r="G331" t="inlineStr">
        <is>
          <t>VÅRGÅRDA</t>
        </is>
      </c>
      <c r="I331" t="n">
        <v>1.9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s="2" t="inlineStr"/>
    </row>
    <row r="332" ht="15" customHeight="1">
      <c r="A332" t="inlineStr">
        <is>
          <t>A 46234-2025</t>
        </is>
      </c>
      <c r="B332" t="inlineStr">
        <is>
          <t>avverkningsanmälan</t>
        </is>
      </c>
      <c r="C332" t="inlineStr">
        <is>
          <t>Föryngringsavverkning</t>
        </is>
      </c>
      <c r="D332" s="1" t="n">
        <v>45925</v>
      </c>
      <c r="E332" s="1" t="n">
        <v>46322</v>
      </c>
      <c r="F332" t="inlineStr">
        <is>
          <t>VÄSTRA GÖTALANDS LÄN</t>
        </is>
      </c>
      <c r="G332" t="inlineStr">
        <is>
          <t>VÅRGÅRDA</t>
        </is>
      </c>
      <c r="I332" t="n">
        <v>2.2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s="2" t="inlineStr"/>
    </row>
    <row r="333" ht="15" customHeight="1">
      <c r="A333" t="inlineStr">
        <is>
          <t>A 37545-2026</t>
        </is>
      </c>
      <c r="B333" t="inlineStr">
        <is>
          <t>avverkningsanmälan</t>
        </is>
      </c>
      <c r="C333" t="inlineStr">
        <is>
          <t>Föryngringsavverkning</t>
        </is>
      </c>
      <c r="D333" s="1" t="n">
        <v>46276</v>
      </c>
      <c r="E333" s="1" t="n">
        <v>46322</v>
      </c>
      <c r="F333" t="inlineStr">
        <is>
          <t>VÄSTRA GÖTALANDS LÄN</t>
        </is>
      </c>
      <c r="G333" t="inlineStr">
        <is>
          <t>VÅRGÅRDA</t>
        </is>
      </c>
      <c r="I333" t="n">
        <v>0.7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s="2" t="inlineStr"/>
    </row>
    <row r="334" ht="15" customHeight="1">
      <c r="A334" t="inlineStr">
        <is>
          <t>A 37543-2026</t>
        </is>
      </c>
      <c r="B334" t="inlineStr">
        <is>
          <t>avverkningsanmälan</t>
        </is>
      </c>
      <c r="C334" t="inlineStr">
        <is>
          <t>Föryngringsavverkning</t>
        </is>
      </c>
      <c r="D334" s="1" t="n">
        <v>46276</v>
      </c>
      <c r="E334" s="1" t="n">
        <v>46322</v>
      </c>
      <c r="F334" t="inlineStr">
        <is>
          <t>VÄSTRA GÖTALANDS LÄN</t>
        </is>
      </c>
      <c r="G334" t="inlineStr">
        <is>
          <t>VÅRGÅRDA</t>
        </is>
      </c>
      <c r="I334" t="n">
        <v>0.9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s="2" t="inlineStr"/>
    </row>
    <row r="335" ht="15" customHeight="1">
      <c r="A335" t="inlineStr">
        <is>
          <t>S 1329-2022</t>
        </is>
      </c>
      <c r="B335" t="inlineStr">
        <is>
          <t>samrådsanmälan</t>
        </is>
      </c>
      <c r="C335" t="inlineStr">
        <is>
          <t>Askåterföring</t>
        </is>
      </c>
      <c r="D335" s="1" t="n">
        <v>44628</v>
      </c>
      <c r="E335" s="1" t="n">
        <v>46322</v>
      </c>
      <c r="F335" t="inlineStr">
        <is>
          <t>VÄSTRA GÖTALANDS LÄN</t>
        </is>
      </c>
      <c r="G335" t="inlineStr">
        <is>
          <t>VÅRGÅRDA</t>
        </is>
      </c>
      <c r="H335" t="inlineStr">
        <is>
          <t>Kyrkan</t>
        </is>
      </c>
      <c r="I335" t="n">
        <v>24.6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s="2" t="inlineStr"/>
    </row>
    <row r="336" ht="15" customHeight="1">
      <c r="A336" t="inlineStr">
        <is>
          <t>S 204-2024</t>
        </is>
      </c>
      <c r="B336" t="inlineStr">
        <is>
          <t>samrådsanmälan</t>
        </is>
      </c>
      <c r="C336" t="inlineStr">
        <is>
          <t>Askåterföring</t>
        </is>
      </c>
      <c r="D336" s="1" t="n">
        <v>45323</v>
      </c>
      <c r="E336" s="1" t="n">
        <v>46322</v>
      </c>
      <c r="F336" t="inlineStr">
        <is>
          <t>VÄSTRA GÖTALANDS LÄN</t>
        </is>
      </c>
      <c r="G336" t="inlineStr">
        <is>
          <t>VÅRGÅRDA</t>
        </is>
      </c>
      <c r="I336" t="n">
        <v>34.3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s="2" t="inlineStr"/>
    </row>
    <row r="337" ht="15" customHeight="1">
      <c r="A337" t="inlineStr">
        <is>
          <t>S 234-2024</t>
        </is>
      </c>
      <c r="B337" t="inlineStr">
        <is>
          <t>samrådsanmälan</t>
        </is>
      </c>
      <c r="C337" t="inlineStr">
        <is>
          <t>Annan skogsbruksåtgärd</t>
        </is>
      </c>
      <c r="D337" s="1" t="n">
        <v>45317</v>
      </c>
      <c r="E337" s="1" t="n">
        <v>46322</v>
      </c>
      <c r="F337" t="inlineStr">
        <is>
          <t>VÄSTRA GÖTALANDS LÄN</t>
        </is>
      </c>
      <c r="G337" t="inlineStr">
        <is>
          <t>VÅRGÅRDA</t>
        </is>
      </c>
      <c r="I337" t="n">
        <v>4.1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s="2" t="inlineStr"/>
    </row>
    <row r="338" ht="15" customHeight="1">
      <c r="A338" t="inlineStr">
        <is>
          <t>S 506-2024</t>
        </is>
      </c>
      <c r="B338" t="inlineStr">
        <is>
          <t>samrådsanmälan</t>
        </is>
      </c>
      <c r="C338" t="inlineStr">
        <is>
          <t>Askåterföring</t>
        </is>
      </c>
      <c r="D338" s="1" t="n">
        <v>45345</v>
      </c>
      <c r="E338" s="1" t="n">
        <v>46322</v>
      </c>
      <c r="F338" t="inlineStr">
        <is>
          <t>VÄSTRA GÖTALANDS LÄN</t>
        </is>
      </c>
      <c r="G338" t="inlineStr">
        <is>
          <t>VÅRGÅRDA</t>
        </is>
      </c>
      <c r="I338" t="n">
        <v>5.9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s="2" t="inlineStr"/>
    </row>
    <row r="339" ht="15" customHeight="1">
      <c r="A339" t="inlineStr">
        <is>
          <t>S 509-2024</t>
        </is>
      </c>
      <c r="B339" t="inlineStr">
        <is>
          <t>samrådsanmälan</t>
        </is>
      </c>
      <c r="C339" t="inlineStr">
        <is>
          <t>Askåterföring</t>
        </is>
      </c>
      <c r="D339" s="1" t="n">
        <v>45345</v>
      </c>
      <c r="E339" s="1" t="n">
        <v>46322</v>
      </c>
      <c r="F339" t="inlineStr">
        <is>
          <t>VÄSTRA GÖTALANDS LÄN</t>
        </is>
      </c>
      <c r="G339" t="inlineStr">
        <is>
          <t>VÅRGÅRDA</t>
        </is>
      </c>
      <c r="I339" t="n">
        <v>5.7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s="2" t="inlineStr"/>
    </row>
    <row r="340" ht="15" customHeight="1">
      <c r="A340" t="inlineStr">
        <is>
          <t>S 4693-2024</t>
        </is>
      </c>
      <c r="B340" t="inlineStr">
        <is>
          <t>samrådsanmälan</t>
        </is>
      </c>
      <c r="C340" t="inlineStr">
        <is>
          <t>Annan skogsbruksåtgärd</t>
        </is>
      </c>
      <c r="D340" s="1" t="n">
        <v>45606</v>
      </c>
      <c r="E340" s="1" t="n">
        <v>46322</v>
      </c>
      <c r="F340" t="inlineStr">
        <is>
          <t>VÄSTRA GÖTALANDS LÄN</t>
        </is>
      </c>
      <c r="G340" t="inlineStr">
        <is>
          <t>VÅRGÅRDA</t>
        </is>
      </c>
      <c r="I340" t="n">
        <v>2.3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s="2" t="inlineStr"/>
    </row>
    <row r="341" ht="15" customHeight="1">
      <c r="A341" t="inlineStr">
        <is>
          <t>S 858-2024</t>
        </is>
      </c>
      <c r="B341" t="inlineStr">
        <is>
          <t>samrådsanmälan</t>
        </is>
      </c>
      <c r="C341" t="inlineStr">
        <is>
          <t>Askåterföring</t>
        </is>
      </c>
      <c r="D341" s="1" t="n">
        <v>45373</v>
      </c>
      <c r="E341" s="1" t="n">
        <v>46322</v>
      </c>
      <c r="F341" t="inlineStr">
        <is>
          <t>VÄSTRA GÖTALANDS LÄN</t>
        </is>
      </c>
      <c r="G341" t="inlineStr">
        <is>
          <t>VÅRGÅRDA</t>
        </is>
      </c>
      <c r="H341" t="inlineStr">
        <is>
          <t>Kyrkan</t>
        </is>
      </c>
      <c r="I341" t="n">
        <v>17.4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s="2" t="inlineStr"/>
    </row>
    <row r="342" ht="15" customHeight="1">
      <c r="A342" t="inlineStr">
        <is>
          <t>S 3932-2024</t>
        </is>
      </c>
      <c r="B342" t="inlineStr">
        <is>
          <t>samrådsanmälan</t>
        </is>
      </c>
      <c r="C342" t="inlineStr">
        <is>
          <t>Annan skogsbruksåtgärd</t>
        </is>
      </c>
      <c r="D342" s="1" t="n">
        <v>45565</v>
      </c>
      <c r="E342" s="1" t="n">
        <v>46322</v>
      </c>
      <c r="F342" t="inlineStr">
        <is>
          <t>VÄSTRA GÖTALANDS LÄN</t>
        </is>
      </c>
      <c r="G342" t="inlineStr">
        <is>
          <t>VÅRGÅRDA</t>
        </is>
      </c>
      <c r="I342" t="n">
        <v>1.7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s="2" t="inlineStr"/>
    </row>
    <row r="343" ht="15" customHeight="1">
      <c r="A343" t="inlineStr">
        <is>
          <t>S 2696-2024</t>
        </is>
      </c>
      <c r="B343" t="inlineStr">
        <is>
          <t>samrådsanmälan</t>
        </is>
      </c>
      <c r="C343" t="inlineStr">
        <is>
          <t>Annan skogsbruksåtgärd</t>
        </is>
      </c>
      <c r="D343" s="1" t="n">
        <v>45482</v>
      </c>
      <c r="E343" s="1" t="n">
        <v>46322</v>
      </c>
      <c r="F343" t="inlineStr">
        <is>
          <t>VÄSTRA GÖTALANDS LÄN</t>
        </is>
      </c>
      <c r="G343" t="inlineStr">
        <is>
          <t>VÅRGÅRDA</t>
        </is>
      </c>
      <c r="I343" t="n">
        <v>1.4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s="2" t="inlineStr"/>
    </row>
    <row r="344" ht="15" customHeight="1">
      <c r="A344" t="inlineStr">
        <is>
          <t>S 275-2024</t>
        </is>
      </c>
      <c r="B344" t="inlineStr">
        <is>
          <t>samrådsanmälan</t>
        </is>
      </c>
      <c r="C344" t="inlineStr">
        <is>
          <t>Askåterföring</t>
        </is>
      </c>
      <c r="D344" s="1" t="n">
        <v>45323</v>
      </c>
      <c r="E344" s="1" t="n">
        <v>46322</v>
      </c>
      <c r="F344" t="inlineStr">
        <is>
          <t>VÄSTRA GÖTALANDS LÄN</t>
        </is>
      </c>
      <c r="G344" t="inlineStr">
        <is>
          <t>VÅRGÅRDA</t>
        </is>
      </c>
      <c r="I344" t="n">
        <v>27.3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s="2" t="inlineStr"/>
    </row>
    <row r="345" ht="15" customHeight="1">
      <c r="A345" t="inlineStr">
        <is>
          <t>S 735-2026</t>
        </is>
      </c>
      <c r="B345" t="inlineStr">
        <is>
          <t>samrådsanmälan</t>
        </is>
      </c>
      <c r="C345" t="inlineStr">
        <is>
          <t>Askåterföring</t>
        </is>
      </c>
      <c r="D345" s="1" t="n">
        <v>46094</v>
      </c>
      <c r="E345" s="1" t="n">
        <v>46322</v>
      </c>
      <c r="F345" t="inlineStr">
        <is>
          <t>VÄSTRA GÖTALANDS LÄN</t>
        </is>
      </c>
      <c r="G345" t="inlineStr">
        <is>
          <t>VÅRGÅRDA</t>
        </is>
      </c>
      <c r="H345" t="inlineStr">
        <is>
          <t>Kyrkan</t>
        </is>
      </c>
      <c r="I345" t="n">
        <v>20.6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s="2" t="inlineStr"/>
    </row>
    <row r="346" ht="15" customHeight="1">
      <c r="A346" t="inlineStr">
        <is>
          <t>S 729-2026</t>
        </is>
      </c>
      <c r="B346" t="inlineStr">
        <is>
          <t>samrådsanmälan</t>
        </is>
      </c>
      <c r="C346" t="inlineStr">
        <is>
          <t>Askåterföring</t>
        </is>
      </c>
      <c r="D346" s="1" t="n">
        <v>46093</v>
      </c>
      <c r="E346" s="1" t="n">
        <v>46322</v>
      </c>
      <c r="F346" t="inlineStr">
        <is>
          <t>VÄSTRA GÖTALANDS LÄN</t>
        </is>
      </c>
      <c r="G346" t="inlineStr">
        <is>
          <t>VÅRGÅRDA</t>
        </is>
      </c>
      <c r="I346" t="n">
        <v>37.5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s="2" t="inlineStr"/>
    </row>
    <row r="347" ht="15" customHeight="1">
      <c r="A347" t="inlineStr">
        <is>
          <t>S 514-2026</t>
        </is>
      </c>
      <c r="B347" t="inlineStr">
        <is>
          <t>samrådsanmälan</t>
        </is>
      </c>
      <c r="C347" t="inlineStr">
        <is>
          <t>Annan skogsbruksåtgärd</t>
        </is>
      </c>
      <c r="D347" s="1" t="n">
        <v>46077</v>
      </c>
      <c r="E347" s="1" t="n">
        <v>46322</v>
      </c>
      <c r="F347" t="inlineStr">
        <is>
          <t>VÄSTRA GÖTALANDS LÄN</t>
        </is>
      </c>
      <c r="G347" t="inlineStr">
        <is>
          <t>VÅRGÅRDA</t>
        </is>
      </c>
      <c r="I347" t="n">
        <v>1.3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s="2" t="inlineStr"/>
    </row>
    <row r="348">
      <c r="A348" t="inlineStr">
        <is>
          <t>S 2751-2026</t>
        </is>
      </c>
      <c r="B348" t="inlineStr">
        <is>
          <t>samrådsanmälan</t>
        </is>
      </c>
      <c r="C348" t="inlineStr">
        <is>
          <t>Annan skogsbruksåtgärd</t>
        </is>
      </c>
      <c r="D348" s="1" t="n">
        <v>46316</v>
      </c>
      <c r="E348" s="1" t="n">
        <v>46322</v>
      </c>
      <c r="F348" t="inlineStr">
        <is>
          <t>VÄSTRA GÖTALANDS LÄN</t>
        </is>
      </c>
      <c r="G348" t="inlineStr">
        <is>
          <t>VÅRGÅRDA</t>
        </is>
      </c>
      <c r="I348" t="n">
        <v>2.3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2026-10-27T03:10:14Z</dcterms:created>
  <dcterms:modified xmlns:dcterms="http://purl.org/dc/terms/" xmlns:xsi="http://www.w3.org/2001/XMLSchema-instance" xsi:type="dcterms:W3CDTF">2026-10-27T03:10:14Z</dcterms:modified>
</cp:coreProperties>
</file>