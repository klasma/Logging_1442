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47506-2023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45203</v>
      </c>
      <c r="E4" s="1" t="n">
        <v>46311</v>
      </c>
      <c r="F4" t="inlineStr">
        <is>
          <t>VÄSTRA GÖTALANDS LÄN</t>
        </is>
      </c>
      <c r="G4" t="inlineStr">
        <is>
          <t>VÅRGÅRDA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Revlummer</t>
        </is>
      </c>
      <c r="W4">
        <f>HYPERLINK("https://klasma.github.io/Logging_1442/artfynd/A 47506-2023 artfynd.xlsx", "A 47506-2023")</f>
        <v/>
      </c>
      <c r="X4">
        <f>HYPERLINK("https://klasma.github.io/Logging_1442/kartor/A 47506-2023 karta.png", "A 47506-2023")</f>
        <v/>
      </c>
      <c r="Y4">
        <f>HYPERLINK("https://klasma.github.io/Logging_1442/kartor_geotiff/A 47506-2023 georefererad karta.tif", "A 47506-2023")</f>
        <v/>
      </c>
      <c r="AA4">
        <f>HYPERLINK("https://klasma.github.io/Logging_1442/klagomål/A 47506-2023 FSC-klagomål.docx", "A 47506-2023")</f>
        <v/>
      </c>
      <c r="AB4">
        <f>HYPERLINK("https://klasma.github.io/Logging_1442/klagomålsmail/A 47506-2023 FSC-klagomål mail.docx", "A 47506-2023")</f>
        <v/>
      </c>
      <c r="AC4">
        <f>HYPERLINK("https://klasma.github.io/Logging_1442/tillsyn/A 47506-2023 tillsynsbegäran.docx", "A 47506-2023")</f>
        <v/>
      </c>
      <c r="AD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46311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46311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46311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46311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46311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17527-2025 artfynd.xlsx", "A 17527-2025")</f>
        <v/>
      </c>
      <c r="X9">
        <f>HYPERLINK("https://klasma.github.io/Logging_1442/kartor/A 17527-2025 karta.png", "A 17527-2025")</f>
        <v/>
      </c>
      <c r="Y9">
        <f>HYPERLINK("https://klasma.github.io/Logging_1442/kartor_geotiff/A 17527-2025 georefererad karta.tif", "A 17527-2025")</f>
        <v/>
      </c>
      <c r="AA9">
        <f>HYPERLINK("https://klasma.github.io/Logging_1442/klagomål/A 17527-2025 FSC-klagomål.docx", "A 17527-2025")</f>
        <v/>
      </c>
      <c r="AB9">
        <f>HYPERLINK("https://klasma.github.io/Logging_1442/klagomålsmail/A 17527-2025 FSC-klagomål mail.docx", "A 17527-2025")</f>
        <v/>
      </c>
      <c r="AC9">
        <f>HYPERLINK("https://klasma.github.io/Logging_1442/tillsyn/A 17527-2025 tillsynsbegäran.docx", "A 17527-2025")</f>
        <v/>
      </c>
      <c r="AD9">
        <f>HYPERLINK("https://klasma.github.io/Logging_1442/tillsynsmail/A 17527-2025 tillsynsbegäran mail.docx", "A 17527-2025")</f>
        <v/>
      </c>
    </row>
    <row r="10" ht="15" customHeight="1">
      <c r="A10" t="inlineStr">
        <is>
          <t>A 16912-2025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45755</v>
      </c>
      <c r="E10" s="1" t="n">
        <v>46311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16912-2025 artfynd.xlsx", "A 16912-2025")</f>
        <v/>
      </c>
      <c r="X10">
        <f>HYPERLINK("https://klasma.github.io/Logging_1442/kartor/A 16912-2025 karta.png", "A 16912-2025")</f>
        <v/>
      </c>
      <c r="Y10">
        <f>HYPERLINK("https://klasma.github.io/Logging_1442/kartor_geotiff/A 16912-2025 georefererad karta.tif", "A 16912-2025")</f>
        <v/>
      </c>
      <c r="AA10">
        <f>HYPERLINK("https://klasma.github.io/Logging_1442/klagomål/A 16912-2025 FSC-klagomål.docx", "A 16912-2025")</f>
        <v/>
      </c>
      <c r="AB10">
        <f>HYPERLINK("https://klasma.github.io/Logging_1442/klagomålsmail/A 16912-2025 FSC-klagomål mail.docx", "A 16912-2025")</f>
        <v/>
      </c>
      <c r="AC10">
        <f>HYPERLINK("https://klasma.github.io/Logging_1442/tillsyn/A 16912-2025 tillsynsbegäran.docx", "A 16912-2025")</f>
        <v/>
      </c>
      <c r="AD10">
        <f>HYPERLINK("https://klasma.github.io/Logging_1442/tillsynsmail/A 16912-2025 tillsynsbegäran mail.docx", "A 16912-2025")</f>
        <v/>
      </c>
    </row>
    <row r="11" ht="15" customHeight="1">
      <c r="A11" t="inlineStr">
        <is>
          <t>A 48760-2025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45936</v>
      </c>
      <c r="E11" s="1" t="n">
        <v>46311</v>
      </c>
      <c r="F11" t="inlineStr">
        <is>
          <t>VÄSTRA GÖTALANDS LÄN</t>
        </is>
      </c>
      <c r="G11" t="inlineStr">
        <is>
          <t>VÅRGÅRDA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HYPERLINK("https://klasma.github.io/Logging_1442/artfynd/A 48760-2025 artfynd.xlsx", "A 48760-2025")</f>
        <v/>
      </c>
      <c r="X11">
        <f>HYPERLINK("https://klasma.github.io/Logging_1442/kartor/A 48760-2025 karta.png", "A 48760-2025")</f>
        <v/>
      </c>
      <c r="Y11">
        <f>HYPERLINK("https://klasma.github.io/Logging_1442/kartor_geotiff/A 48760-2025 georefererad karta.tif", "A 48760-2025")</f>
        <v/>
      </c>
      <c r="AA11">
        <f>HYPERLINK("https://klasma.github.io/Logging_1442/klagomål/A 48760-2025 FSC-klagomål.docx", "A 48760-2025")</f>
        <v/>
      </c>
      <c r="AB11">
        <f>HYPERLINK("https://klasma.github.io/Logging_1442/klagomålsmail/A 48760-2025 FSC-klagomål mail.docx", "A 48760-2025")</f>
        <v/>
      </c>
      <c r="AC11">
        <f>HYPERLINK("https://klasma.github.io/Logging_1442/tillsyn/A 48760-2025 tillsynsbegäran.docx", "A 48760-2025")</f>
        <v/>
      </c>
      <c r="AD11">
        <f>HYPERLINK("https://klasma.github.io/Logging_1442/tillsynsmail/A 48760-2025 tillsynsbegäran mail.docx", "A 48760-2025")</f>
        <v/>
      </c>
    </row>
    <row r="12" ht="15" customHeight="1">
      <c r="A12" t="inlineStr">
        <is>
          <t>A 48955-2025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45937</v>
      </c>
      <c r="E12" s="1" t="n">
        <v>46311</v>
      </c>
      <c r="F12" t="inlineStr">
        <is>
          <t>VÄSTRA GÖTALANDS LÄN</t>
        </is>
      </c>
      <c r="G12" t="inlineStr">
        <is>
          <t>VÅRGÅRDA</t>
        </is>
      </c>
      <c r="I12" t="n">
        <v>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Älg</t>
        </is>
      </c>
      <c r="W12">
        <f>HYPERLINK("https://klasma.github.io/Logging_1442/artfynd/A 48955-2025 artfynd.xlsx", "A 48955-2025")</f>
        <v/>
      </c>
      <c r="X12">
        <f>HYPERLINK("https://klasma.github.io/Logging_1442/kartor/A 48955-2025 karta.png", "A 48955-2025")</f>
        <v/>
      </c>
      <c r="Y12">
        <f>HYPERLINK("https://klasma.github.io/Logging_1442/kartor_geotiff/A 48955-2025 georefererad karta.tif", "A 48955-2025")</f>
        <v/>
      </c>
      <c r="AA12">
        <f>HYPERLINK("https://klasma.github.io/Logging_1442/klagomål/A 48955-2025 FSC-klagomål.docx", "A 48955-2025")</f>
        <v/>
      </c>
      <c r="AB12">
        <f>HYPERLINK("https://klasma.github.io/Logging_1442/klagomålsmail/A 48955-2025 FSC-klagomål mail.docx", "A 48955-2025")</f>
        <v/>
      </c>
      <c r="AC12">
        <f>HYPERLINK("https://klasma.github.io/Logging_1442/tillsyn/A 48955-2025 tillsynsbegäran.docx", "A 48955-2025")</f>
        <v/>
      </c>
      <c r="AD12">
        <f>HYPERLINK("https://klasma.github.io/Logging_1442/tillsynsmail/A 48955-2025 tillsynsbegäran mail.docx", "A 48955-2025")</f>
        <v/>
      </c>
    </row>
    <row r="13" ht="15" customHeight="1">
      <c r="A13" t="inlineStr">
        <is>
          <t>A 36951-2026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46273</v>
      </c>
      <c r="E13" s="1" t="n">
        <v>46311</v>
      </c>
      <c r="F13" t="inlineStr">
        <is>
          <t>VÄSTRA GÖTALANDS LÄN</t>
        </is>
      </c>
      <c r="G13" t="inlineStr">
        <is>
          <t>VÅRGÅRDA</t>
        </is>
      </c>
      <c r="I13" t="n">
        <v>4.3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HYPERLINK("https://klasma.github.io/Logging_1442/artfynd/A 36951-2026 artfynd.xlsx", "A 36951-2026")</f>
        <v/>
      </c>
      <c r="X13">
        <f>HYPERLINK("https://klasma.github.io/Logging_1442/kartor/A 36951-2026 karta.png", "A 36951-2026")</f>
        <v/>
      </c>
      <c r="Y13">
        <f>HYPERLINK("https://klasma.github.io/Logging_1442/kartor_geotiff/A 36951-2026 georefererad karta.tif", "A 36951-2026")</f>
        <v/>
      </c>
      <c r="AA13">
        <f>HYPERLINK("https://klasma.github.io/Logging_1442/klagomål/A 36951-2026 FSC-klagomål.docx", "A 36951-2026")</f>
        <v/>
      </c>
      <c r="AB13">
        <f>HYPERLINK("https://klasma.github.io/Logging_1442/klagomålsmail/A 36951-2026 FSC-klagomål mail.docx", "A 36951-2026")</f>
        <v/>
      </c>
      <c r="AC13">
        <f>HYPERLINK("https://klasma.github.io/Logging_1442/tillsyn/A 36951-2026 tillsynsbegäran.docx", "A 36951-2026")</f>
        <v/>
      </c>
      <c r="AD13">
        <f>HYPERLINK("https://klasma.github.io/Logging_1442/tillsynsmail/A 36951-2026 tillsynsbegäran mail.docx", "A 36951-2026")</f>
        <v/>
      </c>
    </row>
    <row r="14" ht="15" customHeight="1">
      <c r="A14" t="inlineStr">
        <is>
          <t>A 16590-2025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45752</v>
      </c>
      <c r="E14" s="1" t="n">
        <v>46311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16590-2025 artfynd.xlsx", "A 16590-2025")</f>
        <v/>
      </c>
      <c r="X14">
        <f>HYPERLINK("https://klasma.github.io/Logging_1442/kartor/A 16590-2025 karta.png", "A 16590-2025")</f>
        <v/>
      </c>
      <c r="Y14">
        <f>HYPERLINK("https://klasma.github.io/Logging_1442/kartor_geotiff/A 16590-2025 georefererad karta.tif", "A 16590-2025")</f>
        <v/>
      </c>
      <c r="AA14">
        <f>HYPERLINK("https://klasma.github.io/Logging_1442/klagomål/A 16590-2025 FSC-klagomål.docx", "A 16590-2025")</f>
        <v/>
      </c>
      <c r="AB14">
        <f>HYPERLINK("https://klasma.github.io/Logging_1442/klagomålsmail/A 16590-2025 FSC-klagomål mail.docx", "A 16590-2025")</f>
        <v/>
      </c>
      <c r="AC14">
        <f>HYPERLINK("https://klasma.github.io/Logging_1442/tillsyn/A 16590-2025 tillsynsbegäran.docx", "A 16590-2025")</f>
        <v/>
      </c>
      <c r="AD14">
        <f>HYPERLINK("https://klasma.github.io/Logging_1442/tillsynsmail/A 16590-2025 tillsynsbegäran mail.docx", "A 16590-2025")</f>
        <v/>
      </c>
    </row>
    <row r="15" ht="15" customHeight="1">
      <c r="A15" t="inlineStr">
        <is>
          <t>A 39063-2026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46287</v>
      </c>
      <c r="E15" s="1" t="n">
        <v>46311</v>
      </c>
      <c r="F15" t="inlineStr">
        <is>
          <t>VÄSTRA GÖTALANDS LÄN</t>
        </is>
      </c>
      <c r="G15" t="inlineStr">
        <is>
          <t>VÅRGÅRDA</t>
        </is>
      </c>
      <c r="I15" t="n">
        <v>2.6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Duvhök</t>
        </is>
      </c>
      <c r="W15">
        <f>HYPERLINK("https://klasma.github.io/Logging_1442/artfynd/A 39063-2026 artfynd.xlsx", "A 39063-2026")</f>
        <v/>
      </c>
      <c r="X15">
        <f>HYPERLINK("https://klasma.github.io/Logging_1442/kartor/A 39063-2026 karta.png", "A 39063-2026")</f>
        <v/>
      </c>
      <c r="Y15">
        <f>HYPERLINK("https://klasma.github.io/Logging_1442/kartor_geotiff/A 39063-2026 georefererad karta.tif", "A 39063-2026")</f>
        <v/>
      </c>
      <c r="AA15">
        <f>HYPERLINK("https://klasma.github.io/Logging_1442/klagomål/A 39063-2026 FSC-klagomål.docx", "A 39063-2026")</f>
        <v/>
      </c>
      <c r="AB15">
        <f>HYPERLINK("https://klasma.github.io/Logging_1442/klagomålsmail/A 39063-2026 FSC-klagomål mail.docx", "A 39063-2026")</f>
        <v/>
      </c>
      <c r="AC15">
        <f>HYPERLINK("https://klasma.github.io/Logging_1442/tillsyn/A 39063-2026 tillsynsbegäran.docx", "A 39063-2026")</f>
        <v/>
      </c>
      <c r="AD15">
        <f>HYPERLINK("https://klasma.github.io/Logging_1442/tillsynsmail/A 39063-2026 tillsynsbegäran mail.docx", "A 39063-2026")</f>
        <v/>
      </c>
      <c r="AE15">
        <f>HYPERLINK("https://klasma.github.io/Logging_1442/fåglar/A 39063-2026 prioriterade fågelarter.docx", "A 39063-2026")</f>
        <v/>
      </c>
    </row>
    <row r="16" ht="15" customHeight="1">
      <c r="A16" t="inlineStr">
        <is>
          <t>A 59508-2025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45989</v>
      </c>
      <c r="E16" s="1" t="n">
        <v>46311</v>
      </c>
      <c r="F16" t="inlineStr">
        <is>
          <t>VÄSTRA GÖTALANDS LÄN</t>
        </is>
      </c>
      <c r="G16" t="inlineStr">
        <is>
          <t>VÅRGÅRDA</t>
        </is>
      </c>
      <c r="H16" t="inlineStr">
        <is>
          <t>Kyrkan</t>
        </is>
      </c>
      <c r="I16" t="n">
        <v>4.2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HYPERLINK("https://klasma.github.io/Logging_1442/artfynd/A 59508-2025 artfynd.xlsx", "A 59508-2025")</f>
        <v/>
      </c>
      <c r="X16">
        <f>HYPERLINK("https://klasma.github.io/Logging_1442/kartor/A 59508-2025 karta.png", "A 59508-2025")</f>
        <v/>
      </c>
      <c r="Y16">
        <f>HYPERLINK("https://klasma.github.io/Logging_1442/kartor_geotiff/A 59508-2025 georefererad karta.tif", "A 59508-2025")</f>
        <v/>
      </c>
      <c r="AA16">
        <f>HYPERLINK("https://klasma.github.io/Logging_1442/klagomål/A 59508-2025 FSC-klagomål.docx", "A 59508-2025")</f>
        <v/>
      </c>
      <c r="AB16">
        <f>HYPERLINK("https://klasma.github.io/Logging_1442/klagomålsmail/A 59508-2025 FSC-klagomål mail.docx", "A 59508-2025")</f>
        <v/>
      </c>
      <c r="AC16">
        <f>HYPERLINK("https://klasma.github.io/Logging_1442/tillsyn/A 59508-2025 tillsynsbegäran.docx", "A 59508-2025")</f>
        <v/>
      </c>
      <c r="AD16">
        <f>HYPERLINK("https://klasma.github.io/Logging_1442/tillsynsmail/A 59508-2025 tillsynsbegäran mail.docx", "A 59508-2025")</f>
        <v/>
      </c>
    </row>
    <row r="17" ht="15" customHeight="1">
      <c r="A17" t="inlineStr">
        <is>
          <t>A 2412-2026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46036</v>
      </c>
      <c r="E17" s="1" t="n">
        <v>46311</v>
      </c>
      <c r="F17" t="inlineStr">
        <is>
          <t>VÄSTRA GÖTALANDS LÄN</t>
        </is>
      </c>
      <c r="G17" t="inlineStr">
        <is>
          <t>VÅRGÅRDA</t>
        </is>
      </c>
      <c r="I17" t="n">
        <v>4.4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HYPERLINK("https://klasma.github.io/Logging_1442/artfynd/A 2412-2026 artfynd.xlsx", "A 2412-2026")</f>
        <v/>
      </c>
      <c r="X17">
        <f>HYPERLINK("https://klasma.github.io/Logging_1442/kartor/A 2412-2026 karta.png", "A 2412-2026")</f>
        <v/>
      </c>
      <c r="Y17">
        <f>HYPERLINK("https://klasma.github.io/Logging_1442/kartor_geotiff/A 2412-2026 georefererad karta.tif", "A 2412-2026")</f>
        <v/>
      </c>
      <c r="AA17">
        <f>HYPERLINK("https://klasma.github.io/Logging_1442/klagomål/A 2412-2026 FSC-klagomål.docx", "A 2412-2026")</f>
        <v/>
      </c>
      <c r="AB17">
        <f>HYPERLINK("https://klasma.github.io/Logging_1442/klagomålsmail/A 2412-2026 FSC-klagomål mail.docx", "A 2412-2026")</f>
        <v/>
      </c>
      <c r="AC17">
        <f>HYPERLINK("https://klasma.github.io/Logging_1442/tillsyn/A 2412-2026 tillsynsbegäran.docx", "A 2412-2026")</f>
        <v/>
      </c>
      <c r="AD17">
        <f>HYPERLINK("https://klasma.github.io/Logging_1442/tillsynsmail/A 2412-2026 tillsynsbegäran mail.docx", "A 2412-2026")</f>
        <v/>
      </c>
    </row>
    <row r="18" ht="15" customHeight="1">
      <c r="A18" t="inlineStr">
        <is>
          <t>A 7533-2026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46059</v>
      </c>
      <c r="E18" s="1" t="n">
        <v>46311</v>
      </c>
      <c r="F18" t="inlineStr">
        <is>
          <t>VÄSTRA GÖTALANDS LÄN</t>
        </is>
      </c>
      <c r="G18" t="inlineStr">
        <is>
          <t>VÅRGÅRDA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Slåttergubbe</t>
        </is>
      </c>
      <c r="W18">
        <f>HYPERLINK("https://klasma.github.io/Logging_1442/artfynd/A 7533-2026 artfynd.xlsx", "A 7533-2026")</f>
        <v/>
      </c>
      <c r="X18">
        <f>HYPERLINK("https://klasma.github.io/Logging_1442/kartor/A 7533-2026 karta.png", "A 7533-2026")</f>
        <v/>
      </c>
      <c r="Y18">
        <f>HYPERLINK("https://klasma.github.io/Logging_1442/kartor_geotiff/A 7533-2026 georefererad karta.tif", "A 7533-2026")</f>
        <v/>
      </c>
      <c r="AA18">
        <f>HYPERLINK("https://klasma.github.io/Logging_1442/klagomål/A 7533-2026 FSC-klagomål.docx", "A 7533-2026")</f>
        <v/>
      </c>
      <c r="AB18">
        <f>HYPERLINK("https://klasma.github.io/Logging_1442/klagomålsmail/A 7533-2026 FSC-klagomål mail.docx", "A 7533-2026")</f>
        <v/>
      </c>
      <c r="AC18">
        <f>HYPERLINK("https://klasma.github.io/Logging_1442/tillsyn/A 7533-2026 tillsynsbegäran.docx", "A 7533-2026")</f>
        <v/>
      </c>
      <c r="AD18">
        <f>HYPERLINK("https://klasma.github.io/Logging_1442/tillsynsmail/A 7533-2026 tillsynsbegäran mail.docx", "A 7533-2026")</f>
        <v/>
      </c>
    </row>
    <row r="19" ht="15" customHeight="1">
      <c r="A19" t="inlineStr">
        <is>
          <t>A 8657-2026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46066</v>
      </c>
      <c r="E19" s="1" t="n">
        <v>46311</v>
      </c>
      <c r="F19" t="inlineStr">
        <is>
          <t>VÄSTRA GÖTALANDS LÄN</t>
        </is>
      </c>
      <c r="G19" t="inlineStr">
        <is>
          <t>VÅRGÅRDA</t>
        </is>
      </c>
      <c r="I19" t="n">
        <v>10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Blomkålssvamp</t>
        </is>
      </c>
      <c r="W19">
        <f>HYPERLINK("https://klasma.github.io/Logging_1442/artfynd/A 8657-2026 artfynd.xlsx", "A 8657-2026")</f>
        <v/>
      </c>
      <c r="X19">
        <f>HYPERLINK("https://klasma.github.io/Logging_1442/kartor/A 8657-2026 karta.png", "A 8657-2026")</f>
        <v/>
      </c>
      <c r="Y19">
        <f>HYPERLINK("https://klasma.github.io/Logging_1442/kartor_geotiff/A 8657-2026 georefererad karta.tif", "A 8657-2026")</f>
        <v/>
      </c>
      <c r="AA19">
        <f>HYPERLINK("https://klasma.github.io/Logging_1442/klagomål/A 8657-2026 FSC-klagomål.docx", "A 8657-2026")</f>
        <v/>
      </c>
      <c r="AB19">
        <f>HYPERLINK("https://klasma.github.io/Logging_1442/klagomålsmail/A 8657-2026 FSC-klagomål mail.docx", "A 8657-2026")</f>
        <v/>
      </c>
      <c r="AC19">
        <f>HYPERLINK("https://klasma.github.io/Logging_1442/tillsyn/A 8657-2026 tillsynsbegäran.docx", "A 8657-2026")</f>
        <v/>
      </c>
      <c r="AD19">
        <f>HYPERLINK("https://klasma.github.io/Logging_1442/tillsynsmail/A 8657-2026 tillsynsbegäran mail.docx", "A 8657-2026")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46311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46311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46311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46311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46311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46311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46311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46311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46311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46311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46311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46311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46311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46311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46311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46311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46311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44662</v>
      </c>
      <c r="E40" s="1" t="n">
        <v>46311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46311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13506-2022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46311</v>
      </c>
      <c r="F42" t="inlineStr">
        <is>
          <t>VÄSTRA GÖTALANDS LÄN</t>
        </is>
      </c>
      <c r="G42" t="inlineStr">
        <is>
          <t>VÅRGÅRDA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46311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65303-2021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46311</v>
      </c>
      <c r="F44" t="inlineStr">
        <is>
          <t>VÄSTRA GÖTALANDS LÄN</t>
        </is>
      </c>
      <c r="G44" t="inlineStr">
        <is>
          <t>VÅRGÅRDA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46311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25326-2025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45800</v>
      </c>
      <c r="E46" s="1" t="n">
        <v>46311</v>
      </c>
      <c r="F46" t="inlineStr">
        <is>
          <t>VÄSTRA GÖTALANDS LÄN</t>
        </is>
      </c>
      <c r="G46" t="inlineStr">
        <is>
          <t>VÅRGÅRDA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45804</v>
      </c>
      <c r="E47" s="1" t="n">
        <v>46311</v>
      </c>
      <c r="F47" t="inlineStr">
        <is>
          <t>VÄSTRA GÖTALANDS LÄN</t>
        </is>
      </c>
      <c r="G47" t="inlineStr">
        <is>
          <t>VÅRGÅRDA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25909-2025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45804</v>
      </c>
      <c r="E48" s="1" t="n">
        <v>46311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46311</v>
      </c>
      <c r="F49" t="inlineStr">
        <is>
          <t>VÄSTRA GÖTALANDS LÄN</t>
        </is>
      </c>
      <c r="G49" t="inlineStr">
        <is>
          <t>VÅRGÅRDA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45804</v>
      </c>
      <c r="E50" s="1" t="n">
        <v>46311</v>
      </c>
      <c r="F50" t="inlineStr">
        <is>
          <t>VÄSTRA GÖTALANDS LÄN</t>
        </is>
      </c>
      <c r="G50" t="inlineStr">
        <is>
          <t>VÅRGÅRDA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41497-2022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44826</v>
      </c>
      <c r="E51" s="1" t="n">
        <v>46311</v>
      </c>
      <c r="F51" t="inlineStr">
        <is>
          <t>VÄSTRA GÖTALANDS LÄN</t>
        </is>
      </c>
      <c r="G51" t="inlineStr">
        <is>
          <t>VÅRGÅRDA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45253</v>
      </c>
      <c r="E52" s="1" t="n">
        <v>46311</v>
      </c>
      <c r="F52" t="inlineStr">
        <is>
          <t>VÄSTRA GÖTALANDS LÄN</t>
        </is>
      </c>
      <c r="G52" t="inlineStr">
        <is>
          <t>VÅRGÅRDA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46311</v>
      </c>
      <c r="F53" t="inlineStr">
        <is>
          <t>VÄSTRA GÖTALANDS LÄN</t>
        </is>
      </c>
      <c r="G53" t="inlineStr">
        <is>
          <t>VÅRGÅRDA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46311</v>
      </c>
      <c r="F54" t="inlineStr">
        <is>
          <t>VÄSTRA GÖTALANDS LÄN</t>
        </is>
      </c>
      <c r="G54" t="inlineStr">
        <is>
          <t>VÅRGÅRDA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46311</v>
      </c>
      <c r="F55" t="inlineStr">
        <is>
          <t>VÄSTRA GÖTALANDS LÄN</t>
        </is>
      </c>
      <c r="G55" t="inlineStr">
        <is>
          <t>VÅRGÅRDA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46311</v>
      </c>
      <c r="F56" t="inlineStr">
        <is>
          <t>VÄSTRA GÖTALANDS LÄN</t>
        </is>
      </c>
      <c r="G56" t="inlineStr">
        <is>
          <t>VÅRGÅRDA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46311</v>
      </c>
      <c r="F57" t="inlineStr">
        <is>
          <t>VÄSTRA GÖTALANDS LÄN</t>
        </is>
      </c>
      <c r="G57" t="inlineStr">
        <is>
          <t>VÅRGÅRDA</t>
        </is>
      </c>
      <c r="H57" t="inlineStr">
        <is>
          <t>Kommuner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20475-2023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46311</v>
      </c>
      <c r="F58" t="inlineStr">
        <is>
          <t>VÄSTRA GÖTALANDS LÄN</t>
        </is>
      </c>
      <c r="G58" t="inlineStr">
        <is>
          <t>VÅRGÅRDA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46311</v>
      </c>
      <c r="F59" t="inlineStr">
        <is>
          <t>VÄSTRA GÖTALANDS LÄN</t>
        </is>
      </c>
      <c r="G59" t="inlineStr">
        <is>
          <t>VÅRGÅRDA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46311</v>
      </c>
      <c r="F60" t="inlineStr">
        <is>
          <t>VÄSTRA GÖTALANDS LÄN</t>
        </is>
      </c>
      <c r="G60" t="inlineStr">
        <is>
          <t>VÅRGÅRDA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46311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46311</v>
      </c>
      <c r="F62" t="inlineStr">
        <is>
          <t>VÄSTRA GÖTALANDS LÄN</t>
        </is>
      </c>
      <c r="G62" t="inlineStr">
        <is>
          <t>VÅRGÅRDA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45375</v>
      </c>
      <c r="E63" s="1" t="n">
        <v>46311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46311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46311</v>
      </c>
      <c r="F65" t="inlineStr">
        <is>
          <t>VÄSTRA GÖTALANDS LÄN</t>
        </is>
      </c>
      <c r="G65" t="inlineStr">
        <is>
          <t>VÅRGÅRDA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46311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Sveaskog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46311</v>
      </c>
      <c r="F67" t="inlineStr">
        <is>
          <t>VÄSTRA GÖTALANDS LÄN</t>
        </is>
      </c>
      <c r="G67" t="inlineStr">
        <is>
          <t>VÅRGÅRDA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46311</v>
      </c>
      <c r="F68" t="inlineStr">
        <is>
          <t>VÄSTRA GÖTALANDS LÄN</t>
        </is>
      </c>
      <c r="G68" t="inlineStr">
        <is>
          <t>VÅRGÅRDA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54587-2023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45233</v>
      </c>
      <c r="E69" s="1" t="n">
        <v>46311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45774</v>
      </c>
      <c r="E70" s="1" t="n">
        <v>46311</v>
      </c>
      <c r="F70" t="inlineStr">
        <is>
          <t>VÄSTRA GÖTALANDS LÄN</t>
        </is>
      </c>
      <c r="G70" t="inlineStr">
        <is>
          <t>VÅRGÅRDA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46311</v>
      </c>
      <c r="F71" t="inlineStr">
        <is>
          <t>VÄSTRA GÖTALANDS LÄN</t>
        </is>
      </c>
      <c r="G71" t="inlineStr">
        <is>
          <t>VÅRGÅRDA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46311</v>
      </c>
      <c r="F72" t="inlineStr">
        <is>
          <t>VÄSTRA GÖTALANDS LÄN</t>
        </is>
      </c>
      <c r="G72" t="inlineStr">
        <is>
          <t>VÅRGÅRDA</t>
        </is>
      </c>
      <c r="H72" t="inlineStr">
        <is>
          <t>Kommuner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45385</v>
      </c>
      <c r="E73" s="1" t="n">
        <v>46311</v>
      </c>
      <c r="F73" t="inlineStr">
        <is>
          <t>VÄSTRA GÖTALANDS LÄN</t>
        </is>
      </c>
      <c r="G73" t="inlineStr">
        <is>
          <t>VÅRGÅRDA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46311</v>
      </c>
      <c r="F74" t="inlineStr">
        <is>
          <t>VÄSTRA GÖTALANDS LÄN</t>
        </is>
      </c>
      <c r="G74" t="inlineStr">
        <is>
          <t>VÅRGÅRDA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46311</v>
      </c>
      <c r="F75" t="inlineStr">
        <is>
          <t>VÄSTRA GÖTALANDS LÄN</t>
        </is>
      </c>
      <c r="G75" t="inlineStr">
        <is>
          <t>VÅRGÅRDA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34133-2022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44791</v>
      </c>
      <c r="E76" s="1" t="n">
        <v>46311</v>
      </c>
      <c r="F76" t="inlineStr">
        <is>
          <t>VÄSTRA GÖTALANDS LÄN</t>
        </is>
      </c>
      <c r="G76" t="inlineStr">
        <is>
          <t>VÅRGÅRDA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46311</v>
      </c>
      <c r="F77" t="inlineStr">
        <is>
          <t>VÄSTRA GÖTALANDS LÄN</t>
        </is>
      </c>
      <c r="G77" t="inlineStr">
        <is>
          <t>VÅRGÅRDA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46311</v>
      </c>
      <c r="F78" t="inlineStr">
        <is>
          <t>VÄSTRA GÖTALANDS LÄN</t>
        </is>
      </c>
      <c r="G78" t="inlineStr">
        <is>
          <t>VÅRGÅRDA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46311</v>
      </c>
      <c r="F79" t="inlineStr">
        <is>
          <t>VÄSTRA GÖTALANDS LÄN</t>
        </is>
      </c>
      <c r="G79" t="inlineStr">
        <is>
          <t>VÅRGÅRDA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46311</v>
      </c>
      <c r="F80" t="inlineStr">
        <is>
          <t>VÄSTRA GÖTALANDS LÄN</t>
        </is>
      </c>
      <c r="G80" t="inlineStr">
        <is>
          <t>VÅRGÅRDA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46311</v>
      </c>
      <c r="F81" t="inlineStr">
        <is>
          <t>VÄSTRA GÖTALANDS LÄN</t>
        </is>
      </c>
      <c r="G81" t="inlineStr">
        <is>
          <t>VÅRGÅRDA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9863-2024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45363</v>
      </c>
      <c r="E82" s="1" t="n">
        <v>46311</v>
      </c>
      <c r="F82" t="inlineStr">
        <is>
          <t>VÄSTRA GÖTALANDS LÄN</t>
        </is>
      </c>
      <c r="G82" t="inlineStr">
        <is>
          <t>VÅRGÅRDA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46311</v>
      </c>
      <c r="F83" t="inlineStr">
        <is>
          <t>VÄSTRA GÖTALANDS LÄN</t>
        </is>
      </c>
      <c r="G83" t="inlineStr">
        <is>
          <t>VÅRGÅRDA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62535-2023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45268</v>
      </c>
      <c r="E84" s="1" t="n">
        <v>46311</v>
      </c>
      <c r="F84" t="inlineStr">
        <is>
          <t>VÄSTRA GÖTALANDS LÄN</t>
        </is>
      </c>
      <c r="G84" t="inlineStr">
        <is>
          <t>VÅRGÅRDA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65946-2021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46311</v>
      </c>
      <c r="F85" t="inlineStr">
        <is>
          <t>VÄSTRA GÖTALANDS LÄN</t>
        </is>
      </c>
      <c r="G85" t="inlineStr">
        <is>
          <t>VÅRGÅRDA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38046-2022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46311</v>
      </c>
      <c r="F86" t="inlineStr">
        <is>
          <t>VÄSTRA GÖTALANDS LÄN</t>
        </is>
      </c>
      <c r="G86" t="inlineStr">
        <is>
          <t>VÅRGÅRDA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45397</v>
      </c>
      <c r="E87" s="1" t="n">
        <v>46311</v>
      </c>
      <c r="F87" t="inlineStr">
        <is>
          <t>VÄSTRA GÖTALANDS LÄN</t>
        </is>
      </c>
      <c r="G87" t="inlineStr">
        <is>
          <t>VÅRGÅRDA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46311</v>
      </c>
      <c r="F88" t="inlineStr">
        <is>
          <t>VÄSTRA GÖTALANDS LÄN</t>
        </is>
      </c>
      <c r="G88" t="inlineStr">
        <is>
          <t>VÅRGÅRDA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45573</v>
      </c>
      <c r="E89" s="1" t="n">
        <v>46311</v>
      </c>
      <c r="F89" t="inlineStr">
        <is>
          <t>VÄSTRA GÖTALANDS LÄN</t>
        </is>
      </c>
      <c r="G89" t="inlineStr">
        <is>
          <t>VÅRGÅRDA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46311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46311</v>
      </c>
      <c r="F91" t="inlineStr">
        <is>
          <t>VÄSTRA GÖTALANDS LÄN</t>
        </is>
      </c>
      <c r="G91" t="inlineStr">
        <is>
          <t>VÅRGÅRDA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44865</v>
      </c>
      <c r="E92" s="1" t="n">
        <v>46311</v>
      </c>
      <c r="F92" t="inlineStr">
        <is>
          <t>VÄSTRA GÖTALANDS LÄN</t>
        </is>
      </c>
      <c r="G92" t="inlineStr">
        <is>
          <t>VÅRGÅRDA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46311</v>
      </c>
      <c r="F93" t="inlineStr">
        <is>
          <t>VÄSTRA GÖTALANDS LÄN</t>
        </is>
      </c>
      <c r="G93" t="inlineStr">
        <is>
          <t>VÅRGÅRDA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64234-2021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44510</v>
      </c>
      <c r="E94" s="1" t="n">
        <v>46311</v>
      </c>
      <c r="F94" t="inlineStr">
        <is>
          <t>VÄSTRA GÖTALANDS LÄN</t>
        </is>
      </c>
      <c r="G94" t="inlineStr">
        <is>
          <t>VÅRGÅRDA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46311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46311</v>
      </c>
      <c r="F96" t="inlineStr">
        <is>
          <t>VÄSTRA GÖTALANDS LÄN</t>
        </is>
      </c>
      <c r="G96" t="inlineStr">
        <is>
          <t>VÅRGÅRDA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46311</v>
      </c>
      <c r="F97" t="inlineStr">
        <is>
          <t>VÄSTRA GÖTALANDS LÄN</t>
        </is>
      </c>
      <c r="G97" t="inlineStr">
        <is>
          <t>VÅRGÅRDA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45374</v>
      </c>
      <c r="E98" s="1" t="n">
        <v>46311</v>
      </c>
      <c r="F98" t="inlineStr">
        <is>
          <t>VÄSTRA GÖTALANDS LÄN</t>
        </is>
      </c>
      <c r="G98" t="inlineStr">
        <is>
          <t>VÅRGÅRDA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45375</v>
      </c>
      <c r="E99" s="1" t="n">
        <v>46311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46311</v>
      </c>
      <c r="F100" t="inlineStr">
        <is>
          <t>VÄSTRA GÖTALANDS LÄN</t>
        </is>
      </c>
      <c r="G100" t="inlineStr">
        <is>
          <t>VÅRGÅRDA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45870</v>
      </c>
      <c r="E101" s="1" t="n">
        <v>46311</v>
      </c>
      <c r="F101" t="inlineStr">
        <is>
          <t>VÄSTRA GÖTALANDS LÄN</t>
        </is>
      </c>
      <c r="G101" t="inlineStr">
        <is>
          <t>VÅRGÅRDA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46311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45357</v>
      </c>
      <c r="E103" s="1" t="n">
        <v>46311</v>
      </c>
      <c r="F103" t="inlineStr">
        <is>
          <t>VÄSTRA GÖTALANDS LÄN</t>
        </is>
      </c>
      <c r="G103" t="inlineStr">
        <is>
          <t>VÅRGÅRDA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45357</v>
      </c>
      <c r="E104" s="1" t="n">
        <v>46311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44920</v>
      </c>
      <c r="E105" s="1" t="n">
        <v>46311</v>
      </c>
      <c r="F105" t="inlineStr">
        <is>
          <t>VÄSTRA GÖTALANDS LÄN</t>
        </is>
      </c>
      <c r="G105" t="inlineStr">
        <is>
          <t>VÅRGÅRDA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45163</v>
      </c>
      <c r="E106" s="1" t="n">
        <v>46311</v>
      </c>
      <c r="F106" t="inlineStr">
        <is>
          <t>VÄSTRA GÖTALANDS LÄN</t>
        </is>
      </c>
      <c r="G106" t="inlineStr">
        <is>
          <t>VÅRGÅRDA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46311</v>
      </c>
      <c r="F107" t="inlineStr">
        <is>
          <t>VÄSTRA GÖTALANDS LÄN</t>
        </is>
      </c>
      <c r="G107" t="inlineStr">
        <is>
          <t>VÅRGÅRDA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46311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46311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46311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46311</v>
      </c>
      <c r="F111" t="inlineStr">
        <is>
          <t>VÄSTRA GÖTALANDS LÄN</t>
        </is>
      </c>
      <c r="G111" t="inlineStr">
        <is>
          <t>VÅRGÅRDA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44910</v>
      </c>
      <c r="E112" s="1" t="n">
        <v>46311</v>
      </c>
      <c r="F112" t="inlineStr">
        <is>
          <t>VÄSTRA GÖTALANDS LÄN</t>
        </is>
      </c>
      <c r="G112" t="inlineStr">
        <is>
          <t>VÅRGÅRDA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46311</v>
      </c>
      <c r="F113" t="inlineStr">
        <is>
          <t>VÄSTRA GÖTALANDS LÄN</t>
        </is>
      </c>
      <c r="G113" t="inlineStr">
        <is>
          <t>VÅRGÅRDA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46311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Kommuner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46311</v>
      </c>
      <c r="F115" t="inlineStr">
        <is>
          <t>VÄSTRA GÖTALANDS LÄN</t>
        </is>
      </c>
      <c r="G115" t="inlineStr">
        <is>
          <t>VÅRGÅRDA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46311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58074-2022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46311</v>
      </c>
      <c r="F117" t="inlineStr">
        <is>
          <t>VÄSTRA GÖTALANDS LÄN</t>
        </is>
      </c>
      <c r="G117" t="inlineStr">
        <is>
          <t>VÅRGÅRDA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45715</v>
      </c>
      <c r="E118" s="1" t="n">
        <v>46311</v>
      </c>
      <c r="F118" t="inlineStr">
        <is>
          <t>VÄSTRA GÖTALANDS LÄN</t>
        </is>
      </c>
      <c r="G118" t="inlineStr">
        <is>
          <t>VÅRGÅRDA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45040</v>
      </c>
      <c r="E119" s="1" t="n">
        <v>46311</v>
      </c>
      <c r="F119" t="inlineStr">
        <is>
          <t>VÄSTRA GÖTALANDS LÄN</t>
        </is>
      </c>
      <c r="G119" t="inlineStr">
        <is>
          <t>VÅRGÅRDA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46311</v>
      </c>
      <c r="F120" t="inlineStr">
        <is>
          <t>VÄSTRA GÖTALANDS LÄN</t>
        </is>
      </c>
      <c r="G120" t="inlineStr">
        <is>
          <t>VÅRGÅRDA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66386-2021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44518</v>
      </c>
      <c r="E121" s="1" t="n">
        <v>46311</v>
      </c>
      <c r="F121" t="inlineStr">
        <is>
          <t>VÄSTRA GÖTALANDS LÄN</t>
        </is>
      </c>
      <c r="G121" t="inlineStr">
        <is>
          <t>VÅRGÅRDA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46311</v>
      </c>
      <c r="F122" t="inlineStr">
        <is>
          <t>VÄSTRA GÖTALANDS LÄN</t>
        </is>
      </c>
      <c r="G122" t="inlineStr">
        <is>
          <t>VÅRGÅRDA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46311</v>
      </c>
      <c r="F123" t="inlineStr">
        <is>
          <t>VÄSTRA GÖTALANDS LÄN</t>
        </is>
      </c>
      <c r="G123" t="inlineStr">
        <is>
          <t>VÅRGÅRDA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44950</v>
      </c>
      <c r="E124" s="1" t="n">
        <v>46311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46311</v>
      </c>
      <c r="F125" t="inlineStr">
        <is>
          <t>VÄSTRA GÖTALANDS LÄN</t>
        </is>
      </c>
      <c r="G125" t="inlineStr">
        <is>
          <t>VÅRGÅRDA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46311</v>
      </c>
      <c r="F126" t="inlineStr">
        <is>
          <t>VÄSTRA GÖTALANDS LÄN</t>
        </is>
      </c>
      <c r="G126" t="inlineStr">
        <is>
          <t>VÅRGÅRDA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45401</v>
      </c>
      <c r="E127" s="1" t="n">
        <v>46311</v>
      </c>
      <c r="F127" t="inlineStr">
        <is>
          <t>VÄSTRA GÖTALANDS LÄN</t>
        </is>
      </c>
      <c r="G127" t="inlineStr">
        <is>
          <t>VÅRGÅRDA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46311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46311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46311</v>
      </c>
      <c r="F130" t="inlineStr">
        <is>
          <t>VÄSTRA GÖTALANDS LÄN</t>
        </is>
      </c>
      <c r="G130" t="inlineStr">
        <is>
          <t>VÅRGÅRDA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45852</v>
      </c>
      <c r="E131" s="1" t="n">
        <v>46311</v>
      </c>
      <c r="F131" t="inlineStr">
        <is>
          <t>VÄSTRA GÖTALANDS LÄN</t>
        </is>
      </c>
      <c r="G131" t="inlineStr">
        <is>
          <t>VÅRGÅRDA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46311</v>
      </c>
      <c r="F132" t="inlineStr">
        <is>
          <t>VÄSTRA GÖTALANDS LÄN</t>
        </is>
      </c>
      <c r="G132" t="inlineStr">
        <is>
          <t>VÅRGÅRDA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46311</v>
      </c>
      <c r="F133" t="inlineStr">
        <is>
          <t>VÄSTRA GÖTALANDS LÄN</t>
        </is>
      </c>
      <c r="G133" t="inlineStr">
        <is>
          <t>VÅRGÅRDA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46311</v>
      </c>
      <c r="F134" t="inlineStr">
        <is>
          <t>VÄSTRA GÖTALANDS LÄN</t>
        </is>
      </c>
      <c r="G134" t="inlineStr">
        <is>
          <t>VÅRGÅRDA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45212</v>
      </c>
      <c r="E135" s="1" t="n">
        <v>46311</v>
      </c>
      <c r="F135" t="inlineStr">
        <is>
          <t>VÄSTRA GÖTALANDS LÄN</t>
        </is>
      </c>
      <c r="G135" t="inlineStr">
        <is>
          <t>VÅRGÅRDA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46114</v>
      </c>
      <c r="E136" s="1" t="n">
        <v>46311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Sveaskog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46114</v>
      </c>
      <c r="E137" s="1" t="n">
        <v>46311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46311</v>
      </c>
      <c r="F138" t="inlineStr">
        <is>
          <t>VÄSTRA GÖTALANDS LÄN</t>
        </is>
      </c>
      <c r="G138" t="inlineStr">
        <is>
          <t>VÅRGÅRDA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46124</v>
      </c>
      <c r="E139" s="1" t="n">
        <v>46311</v>
      </c>
      <c r="F139" t="inlineStr">
        <is>
          <t>VÄSTRA GÖTALANDS LÄN</t>
        </is>
      </c>
      <c r="G139" t="inlineStr">
        <is>
          <t>VÅRGÅRDA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46311</v>
      </c>
      <c r="F140" t="inlineStr">
        <is>
          <t>VÄSTRA GÖTALANDS LÄN</t>
        </is>
      </c>
      <c r="G140" t="inlineStr">
        <is>
          <t>VÅRGÅRDA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46126</v>
      </c>
      <c r="E141" s="1" t="n">
        <v>46311</v>
      </c>
      <c r="F141" t="inlineStr">
        <is>
          <t>VÄSTRA GÖTALANDS LÄN</t>
        </is>
      </c>
      <c r="G141" t="inlineStr">
        <is>
          <t>VÅRGÅRDA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46311</v>
      </c>
      <c r="F142" t="inlineStr">
        <is>
          <t>VÄSTRA GÖTALANDS LÄN</t>
        </is>
      </c>
      <c r="G142" t="inlineStr">
        <is>
          <t>VÅRGÅRDA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46311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Kyrkan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44917</v>
      </c>
      <c r="E144" s="1" t="n">
        <v>46311</v>
      </c>
      <c r="F144" t="inlineStr">
        <is>
          <t>VÄSTRA GÖTALANDS LÄN</t>
        </is>
      </c>
      <c r="G144" t="inlineStr">
        <is>
          <t>VÅRGÅRDA</t>
        </is>
      </c>
      <c r="H144" t="inlineStr">
        <is>
          <t>Kyrkan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46126</v>
      </c>
      <c r="E145" s="1" t="n">
        <v>46311</v>
      </c>
      <c r="F145" t="inlineStr">
        <is>
          <t>VÄSTRA GÖTALANDS LÄN</t>
        </is>
      </c>
      <c r="G145" t="inlineStr">
        <is>
          <t>VÅRGÅRDA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46126</v>
      </c>
      <c r="E146" s="1" t="n">
        <v>46311</v>
      </c>
      <c r="F146" t="inlineStr">
        <is>
          <t>VÄSTRA GÖTALANDS LÄN</t>
        </is>
      </c>
      <c r="G146" t="inlineStr">
        <is>
          <t>VÅRGÅRDA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46311</v>
      </c>
      <c r="F147" t="inlineStr">
        <is>
          <t>VÄSTRA GÖTALANDS LÄN</t>
        </is>
      </c>
      <c r="G147" t="inlineStr">
        <is>
          <t>VÅRGÅRDA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59381-2022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44905</v>
      </c>
      <c r="E148" s="1" t="n">
        <v>46311</v>
      </c>
      <c r="F148" t="inlineStr">
        <is>
          <t>VÄSTRA GÖTALANDS LÄN</t>
        </is>
      </c>
      <c r="G148" t="inlineStr">
        <is>
          <t>VÅRGÅRDA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46311</v>
      </c>
      <c r="F149" t="inlineStr">
        <is>
          <t>VÄSTRA GÖTALANDS LÄN</t>
        </is>
      </c>
      <c r="G149" t="inlineStr">
        <is>
          <t>VÅRGÅRDA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46311</v>
      </c>
      <c r="F150" t="inlineStr">
        <is>
          <t>VÄSTRA GÖTALANDS LÄN</t>
        </is>
      </c>
      <c r="G150" t="inlineStr">
        <is>
          <t>VÅRGÅRDA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46311</v>
      </c>
      <c r="F151" t="inlineStr">
        <is>
          <t>VÄSTRA GÖTALANDS LÄN</t>
        </is>
      </c>
      <c r="G151" t="inlineStr">
        <is>
          <t>VÅRGÅRDA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46311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44725</v>
      </c>
      <c r="E153" s="1" t="n">
        <v>46311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44936</v>
      </c>
      <c r="E154" s="1" t="n">
        <v>46311</v>
      </c>
      <c r="F154" t="inlineStr">
        <is>
          <t>VÄSTRA GÖTALANDS LÄN</t>
        </is>
      </c>
      <c r="G154" t="inlineStr">
        <is>
          <t>VÅRGÅRDA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46311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Allmännings- och besparingsskogar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46311</v>
      </c>
      <c r="F156" t="inlineStr">
        <is>
          <t>VÄSTRA GÖTALANDS LÄN</t>
        </is>
      </c>
      <c r="G156" t="inlineStr">
        <is>
          <t>VÅRGÅRDA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46311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46311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46311</v>
      </c>
      <c r="F159" t="inlineStr">
        <is>
          <t>VÄSTRA GÖTALANDS LÄN</t>
        </is>
      </c>
      <c r="G159" t="inlineStr">
        <is>
          <t>VÅRGÅRDA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46311</v>
      </c>
      <c r="F160" t="inlineStr">
        <is>
          <t>VÄSTRA GÖTALANDS LÄN</t>
        </is>
      </c>
      <c r="G160" t="inlineStr">
        <is>
          <t>VÅRGÅRDA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46311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46311</v>
      </c>
      <c r="F162" t="inlineStr">
        <is>
          <t>VÄSTRA GÖTALANDS LÄN</t>
        </is>
      </c>
      <c r="G162" t="inlineStr">
        <is>
          <t>VÅRGÅRDA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44713</v>
      </c>
      <c r="E163" s="1" t="n">
        <v>46311</v>
      </c>
      <c r="F163" t="inlineStr">
        <is>
          <t>VÄSTRA GÖTALANDS LÄN</t>
        </is>
      </c>
      <c r="G163" t="inlineStr">
        <is>
          <t>VÅRGÅRDA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44713</v>
      </c>
      <c r="E164" s="1" t="n">
        <v>46311</v>
      </c>
      <c r="F164" t="inlineStr">
        <is>
          <t>VÄSTRA GÖTALANDS LÄN</t>
        </is>
      </c>
      <c r="G164" t="inlineStr">
        <is>
          <t>VÅRGÅRDA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44655</v>
      </c>
      <c r="E165" s="1" t="n">
        <v>46311</v>
      </c>
      <c r="F165" t="inlineStr">
        <is>
          <t>VÄSTRA GÖTALANDS LÄN</t>
        </is>
      </c>
      <c r="G165" t="inlineStr">
        <is>
          <t>VÅRGÅRDA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46311</v>
      </c>
      <c r="F166" t="inlineStr">
        <is>
          <t>VÄSTRA GÖTALANDS LÄN</t>
        </is>
      </c>
      <c r="G166" t="inlineStr">
        <is>
          <t>VÅRGÅRDA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46311</v>
      </c>
      <c r="F167" t="inlineStr">
        <is>
          <t>VÄSTRA GÖTALANDS LÄN</t>
        </is>
      </c>
      <c r="G167" t="inlineStr">
        <is>
          <t>VÅRGÅRDA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46311</v>
      </c>
      <c r="F168" t="inlineStr">
        <is>
          <t>VÄSTRA GÖTALANDS LÄN</t>
        </is>
      </c>
      <c r="G168" t="inlineStr">
        <is>
          <t>VÅRGÅRDA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46311</v>
      </c>
      <c r="F169" t="inlineStr">
        <is>
          <t>VÄSTRA GÖTALANDS LÄN</t>
        </is>
      </c>
      <c r="G169" t="inlineStr">
        <is>
          <t>VÅRGÅRDA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46311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Allmännings- och besparingsskogar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44568</v>
      </c>
      <c r="E171" s="1" t="n">
        <v>46311</v>
      </c>
      <c r="F171" t="inlineStr">
        <is>
          <t>VÄSTRA GÖTALANDS LÄN</t>
        </is>
      </c>
      <c r="G171" t="inlineStr">
        <is>
          <t>VÅRGÅRDA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46311</v>
      </c>
      <c r="F172" t="inlineStr">
        <is>
          <t>VÄSTRA GÖTALANDS LÄN</t>
        </is>
      </c>
      <c r="G172" t="inlineStr">
        <is>
          <t>VÅRGÅRDA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46311</v>
      </c>
      <c r="F173" t="inlineStr">
        <is>
          <t>VÄSTRA GÖTALANDS LÄN</t>
        </is>
      </c>
      <c r="G173" t="inlineStr">
        <is>
          <t>VÅRGÅRDA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45233</v>
      </c>
      <c r="E174" s="1" t="n">
        <v>46311</v>
      </c>
      <c r="F174" t="inlineStr">
        <is>
          <t>VÄSTRA GÖTALANDS LÄN</t>
        </is>
      </c>
      <c r="G174" t="inlineStr">
        <is>
          <t>VÅRGÅRDA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45354</v>
      </c>
      <c r="E175" s="1" t="n">
        <v>46311</v>
      </c>
      <c r="F175" t="inlineStr">
        <is>
          <t>VÄSTRA GÖTALANDS LÄN</t>
        </is>
      </c>
      <c r="G175" t="inlineStr">
        <is>
          <t>VÅRGÅRDA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46311</v>
      </c>
      <c r="F176" t="inlineStr">
        <is>
          <t>VÄSTRA GÖTALANDS LÄN</t>
        </is>
      </c>
      <c r="G176" t="inlineStr">
        <is>
          <t>VÅRGÅRDA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46311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45608</v>
      </c>
      <c r="E178" s="1" t="n">
        <v>46311</v>
      </c>
      <c r="F178" t="inlineStr">
        <is>
          <t>VÄSTRA GÖTALANDS LÄN</t>
        </is>
      </c>
      <c r="G178" t="inlineStr">
        <is>
          <t>VÅRGÅRDA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46311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45198</v>
      </c>
      <c r="E180" s="1" t="n">
        <v>46311</v>
      </c>
      <c r="F180" t="inlineStr">
        <is>
          <t>VÄSTRA GÖTALANDS LÄN</t>
        </is>
      </c>
      <c r="G180" t="inlineStr">
        <is>
          <t>VÅRGÅRDA</t>
        </is>
      </c>
      <c r="H180" t="inlineStr">
        <is>
          <t>Kyrkan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46311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Allmännings- och besparingsskogar</t>
        </is>
      </c>
      <c r="I181" t="n">
        <v>13.8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46311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Kyrkan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46311</v>
      </c>
      <c r="F183" t="inlineStr">
        <is>
          <t>VÄSTRA GÖTALANDS LÄN</t>
        </is>
      </c>
      <c r="G183" t="inlineStr">
        <is>
          <t>VÅRGÅRDA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45198</v>
      </c>
      <c r="E184" s="1" t="n">
        <v>46311</v>
      </c>
      <c r="F184" t="inlineStr">
        <is>
          <t>VÄSTRA GÖTALANDS LÄN</t>
        </is>
      </c>
      <c r="G184" t="inlineStr">
        <is>
          <t>VÅRGÅRDA</t>
        </is>
      </c>
      <c r="H184" t="inlineStr">
        <is>
          <t>Kyrkan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46311</v>
      </c>
      <c r="F185" t="inlineStr">
        <is>
          <t>VÄSTRA GÖTALANDS LÄN</t>
        </is>
      </c>
      <c r="G185" t="inlineStr">
        <is>
          <t>VÅRGÅRDA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45491</v>
      </c>
      <c r="E186" s="1" t="n">
        <v>46311</v>
      </c>
      <c r="F186" t="inlineStr">
        <is>
          <t>VÄSTRA GÖTALANDS LÄN</t>
        </is>
      </c>
      <c r="G186" t="inlineStr">
        <is>
          <t>VÅRGÅRDA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17201-2025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45756</v>
      </c>
      <c r="E187" s="1" t="n">
        <v>46311</v>
      </c>
      <c r="F187" t="inlineStr">
        <is>
          <t>VÄSTRA GÖTALANDS LÄN</t>
        </is>
      </c>
      <c r="G187" t="inlineStr">
        <is>
          <t>VÅRGÅRDA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45084</v>
      </c>
      <c r="E188" s="1" t="n">
        <v>46311</v>
      </c>
      <c r="F188" t="inlineStr">
        <is>
          <t>VÄSTRA GÖTALANDS LÄN</t>
        </is>
      </c>
      <c r="G188" t="inlineStr">
        <is>
          <t>VÅRGÅRDA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45612</v>
      </c>
      <c r="E189" s="1" t="n">
        <v>46311</v>
      </c>
      <c r="F189" t="inlineStr">
        <is>
          <t>VÄSTRA GÖTALANDS LÄN</t>
        </is>
      </c>
      <c r="G189" t="inlineStr">
        <is>
          <t>VÅRGÅRDA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46311</v>
      </c>
      <c r="F190" t="inlineStr">
        <is>
          <t>VÄSTRA GÖTALANDS LÄN</t>
        </is>
      </c>
      <c r="G190" t="inlineStr">
        <is>
          <t>VÅRGÅRDA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46311</v>
      </c>
      <c r="F191" t="inlineStr">
        <is>
          <t>VÄSTRA GÖTALANDS LÄN</t>
        </is>
      </c>
      <c r="G191" t="inlineStr">
        <is>
          <t>VÅRGÅRDA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44943</v>
      </c>
      <c r="E192" s="1" t="n">
        <v>46311</v>
      </c>
      <c r="F192" t="inlineStr">
        <is>
          <t>VÄSTRA GÖTALANDS LÄN</t>
        </is>
      </c>
      <c r="G192" t="inlineStr">
        <is>
          <t>VÅRGÅRDA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45920</v>
      </c>
      <c r="E193" s="1" t="n">
        <v>46311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46311</v>
      </c>
      <c r="F194" t="inlineStr">
        <is>
          <t>VÄSTRA GÖTALANDS LÄN</t>
        </is>
      </c>
      <c r="G194" t="inlineStr">
        <is>
          <t>VÅRGÅRDA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45920</v>
      </c>
      <c r="E195" s="1" t="n">
        <v>46311</v>
      </c>
      <c r="F195" t="inlineStr">
        <is>
          <t>VÄSTRA GÖTALANDS LÄN</t>
        </is>
      </c>
      <c r="G195" t="inlineStr">
        <is>
          <t>VÅRGÅRDA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46311</v>
      </c>
      <c r="F196" t="inlineStr">
        <is>
          <t>VÄSTRA GÖTALANDS LÄN</t>
        </is>
      </c>
      <c r="G196" t="inlineStr">
        <is>
          <t>VÅRGÅRDA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44907</v>
      </c>
      <c r="E197" s="1" t="n">
        <v>46311</v>
      </c>
      <c r="F197" t="inlineStr">
        <is>
          <t>VÄSTRA GÖTALANDS LÄN</t>
        </is>
      </c>
      <c r="G197" t="inlineStr">
        <is>
          <t>VÅRGÅRDA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45751</v>
      </c>
      <c r="E198" s="1" t="n">
        <v>46311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46311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45735</v>
      </c>
      <c r="E200" s="1" t="n">
        <v>46311</v>
      </c>
      <c r="F200" t="inlineStr">
        <is>
          <t>VÄSTRA GÖTALANDS LÄN</t>
        </is>
      </c>
      <c r="G200" t="inlineStr">
        <is>
          <t>VÅRGÅRDA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46311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46311</v>
      </c>
      <c r="F202" t="inlineStr">
        <is>
          <t>VÄSTRA GÖTALANDS LÄN</t>
        </is>
      </c>
      <c r="G202" t="inlineStr">
        <is>
          <t>VÅRGÅRDA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45301</v>
      </c>
      <c r="E203" s="1" t="n">
        <v>46311</v>
      </c>
      <c r="F203" t="inlineStr">
        <is>
          <t>VÄSTRA GÖTALANDS LÄN</t>
        </is>
      </c>
      <c r="G203" t="inlineStr">
        <is>
          <t>VÅRGÅRDA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46311</v>
      </c>
      <c r="F204" t="inlineStr">
        <is>
          <t>VÄSTRA GÖTALANDS LÄN</t>
        </is>
      </c>
      <c r="G204" t="inlineStr">
        <is>
          <t>VÅRGÅRDA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46311</v>
      </c>
      <c r="F205" t="inlineStr">
        <is>
          <t>VÄSTRA GÖTALANDS LÄN</t>
        </is>
      </c>
      <c r="G205" t="inlineStr">
        <is>
          <t>VÅRGÅRDA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46170</v>
      </c>
      <c r="E206" s="1" t="n">
        <v>46311</v>
      </c>
      <c r="F206" t="inlineStr">
        <is>
          <t>VÄSTRA GÖTALANDS LÄN</t>
        </is>
      </c>
      <c r="G206" t="inlineStr">
        <is>
          <t>VÅRGÅRDA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46311</v>
      </c>
      <c r="F207" t="inlineStr">
        <is>
          <t>VÄSTRA GÖTALANDS LÄN</t>
        </is>
      </c>
      <c r="G207" t="inlineStr">
        <is>
          <t>VÅRGÅRDA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45927</v>
      </c>
      <c r="E208" s="1" t="n">
        <v>46311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46311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45406</v>
      </c>
      <c r="E210" s="1" t="n">
        <v>46311</v>
      </c>
      <c r="F210" t="inlineStr">
        <is>
          <t>VÄSTRA GÖTALANDS LÄN</t>
        </is>
      </c>
      <c r="G210" t="inlineStr">
        <is>
          <t>VÅRGÅRDA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46311</v>
      </c>
      <c r="F211" t="inlineStr">
        <is>
          <t>VÄSTRA GÖTALANDS LÄN</t>
        </is>
      </c>
      <c r="G211" t="inlineStr">
        <is>
          <t>VÅRGÅRDA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48094-2025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46311</v>
      </c>
      <c r="F212" t="inlineStr">
        <is>
          <t>VÄSTRA GÖTALANDS LÄN</t>
        </is>
      </c>
      <c r="G212" t="inlineStr">
        <is>
          <t>VÅRGÅRDA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46311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46311</v>
      </c>
      <c r="F214" t="inlineStr">
        <is>
          <t>VÄSTRA GÖTALANDS LÄN</t>
        </is>
      </c>
      <c r="G214" t="inlineStr">
        <is>
          <t>VÅRGÅRDA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46311</v>
      </c>
      <c r="F215" t="inlineStr">
        <is>
          <t>VÄSTRA GÖTALANDS LÄN</t>
        </is>
      </c>
      <c r="G215" t="inlineStr">
        <is>
          <t>VÅRGÅRDA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46311</v>
      </c>
      <c r="F216" t="inlineStr">
        <is>
          <t>VÄSTRA GÖTALANDS LÄN</t>
        </is>
      </c>
      <c r="G216" t="inlineStr">
        <is>
          <t>VÅRGÅRDA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46311</v>
      </c>
      <c r="F217" t="inlineStr">
        <is>
          <t>VÄSTRA GÖTALANDS LÄN</t>
        </is>
      </c>
      <c r="G217" t="inlineStr">
        <is>
          <t>VÅRGÅRDA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46311</v>
      </c>
      <c r="F218" t="inlineStr">
        <is>
          <t>VÄSTRA GÖTALANDS LÄN</t>
        </is>
      </c>
      <c r="G218" t="inlineStr">
        <is>
          <t>VÅRGÅRDA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45363</v>
      </c>
      <c r="E219" s="1" t="n">
        <v>46311</v>
      </c>
      <c r="F219" t="inlineStr">
        <is>
          <t>VÄSTRA GÖTALANDS LÄN</t>
        </is>
      </c>
      <c r="G219" t="inlineStr">
        <is>
          <t>VÅRGÅRDA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49431-2025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46311</v>
      </c>
      <c r="F220" t="inlineStr">
        <is>
          <t>VÄSTRA GÖTALANDS LÄN</t>
        </is>
      </c>
      <c r="G220" t="inlineStr">
        <is>
          <t>VÅRGÅRDA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46311</v>
      </c>
      <c r="F221" t="inlineStr">
        <is>
          <t>VÄSTRA GÖTALANDS LÄN</t>
        </is>
      </c>
      <c r="G221" t="inlineStr">
        <is>
          <t>VÅRGÅRDA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44922</v>
      </c>
      <c r="E222" s="1" t="n">
        <v>46311</v>
      </c>
      <c r="F222" t="inlineStr">
        <is>
          <t>VÄSTRA GÖTALANDS LÄN</t>
        </is>
      </c>
      <c r="G222" t="inlineStr">
        <is>
          <t>VÅRGÅRDA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29612-2026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46199</v>
      </c>
      <c r="E223" s="1" t="n">
        <v>46311</v>
      </c>
      <c r="F223" t="inlineStr">
        <is>
          <t>VÄSTRA GÖTALANDS LÄN</t>
        </is>
      </c>
      <c r="G223" t="inlineStr">
        <is>
          <t>VÅRGÅRDA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46311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Allmännings- och besparingsskogar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46205</v>
      </c>
      <c r="E225" s="1" t="n">
        <v>46311</v>
      </c>
      <c r="F225" t="inlineStr">
        <is>
          <t>VÄSTRA GÖTALANDS LÄN</t>
        </is>
      </c>
      <c r="G225" t="inlineStr">
        <is>
          <t>VÅRGÅRDA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29926-2026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46205</v>
      </c>
      <c r="E226" s="1" t="n">
        <v>46311</v>
      </c>
      <c r="F226" t="inlineStr">
        <is>
          <t>VÄSTRA GÖTALANDS LÄN</t>
        </is>
      </c>
      <c r="G226" t="inlineStr">
        <is>
          <t>VÅRGÅRDA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46311</v>
      </c>
      <c r="F227" t="inlineStr">
        <is>
          <t>VÄSTRA GÖTALANDS LÄN</t>
        </is>
      </c>
      <c r="G227" t="inlineStr">
        <is>
          <t>VÅRGÅRDA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45429</v>
      </c>
      <c r="E228" s="1" t="n">
        <v>46311</v>
      </c>
      <c r="F228" t="inlineStr">
        <is>
          <t>VÄSTRA GÖTALANDS LÄN</t>
        </is>
      </c>
      <c r="G228" t="inlineStr">
        <is>
          <t>VÅRGÅRDA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46311</v>
      </c>
      <c r="F229" t="inlineStr">
        <is>
          <t>VÄSTRA GÖTALANDS LÄN</t>
        </is>
      </c>
      <c r="G229" t="inlineStr">
        <is>
          <t>VÅRGÅRDA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45247</v>
      </c>
      <c r="E230" s="1" t="n">
        <v>46311</v>
      </c>
      <c r="F230" t="inlineStr">
        <is>
          <t>VÄSTRA GÖTALANDS LÄN</t>
        </is>
      </c>
      <c r="G230" t="inlineStr">
        <is>
          <t>VÅRGÅRDA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46197</v>
      </c>
      <c r="E231" s="1" t="n">
        <v>46311</v>
      </c>
      <c r="F231" t="inlineStr">
        <is>
          <t>VÄSTRA GÖTALANDS LÄN</t>
        </is>
      </c>
      <c r="G231" t="inlineStr">
        <is>
          <t>VÅRGÅRDA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45375</v>
      </c>
      <c r="E232" s="1" t="n">
        <v>46311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46311</v>
      </c>
      <c r="F233" t="inlineStr">
        <is>
          <t>VÄSTRA GÖTALANDS LÄN</t>
        </is>
      </c>
      <c r="G233" t="inlineStr">
        <is>
          <t>VÅRGÅRDA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45906</v>
      </c>
      <c r="E234" s="1" t="n">
        <v>46311</v>
      </c>
      <c r="F234" t="inlineStr">
        <is>
          <t>VÄSTRA GÖTALANDS LÄN</t>
        </is>
      </c>
      <c r="G234" t="inlineStr">
        <is>
          <t>VÅRGÅRDA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45620</v>
      </c>
      <c r="E235" s="1" t="n">
        <v>46311</v>
      </c>
      <c r="F235" t="inlineStr">
        <is>
          <t>VÄSTRA GÖTALANDS LÄN</t>
        </is>
      </c>
      <c r="G235" t="inlineStr">
        <is>
          <t>VÅRGÅRDA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44952</v>
      </c>
      <c r="E236" s="1" t="n">
        <v>46311</v>
      </c>
      <c r="F236" t="inlineStr">
        <is>
          <t>VÄSTRA GÖTALANDS LÄN</t>
        </is>
      </c>
      <c r="G236" t="inlineStr">
        <is>
          <t>VÅRGÅRDA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46311</v>
      </c>
      <c r="F237" t="inlineStr">
        <is>
          <t>VÄSTRA GÖTALANDS LÄN</t>
        </is>
      </c>
      <c r="G237" t="inlineStr">
        <is>
          <t>VÅRGÅRDA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46211</v>
      </c>
      <c r="E238" s="1" t="n">
        <v>46311</v>
      </c>
      <c r="F238" t="inlineStr">
        <is>
          <t>VÄSTRA GÖTALANDS LÄN</t>
        </is>
      </c>
      <c r="G238" t="inlineStr">
        <is>
          <t>VÅRGÅRDA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17983-2026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46311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46311</v>
      </c>
      <c r="F240" t="inlineStr">
        <is>
          <t>VÄSTRA GÖTALANDS LÄN</t>
        </is>
      </c>
      <c r="G240" t="inlineStr">
        <is>
          <t>VÅRGÅRDA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36421-2026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46269</v>
      </c>
      <c r="E241" s="1" t="n">
        <v>46311</v>
      </c>
      <c r="F241" t="inlineStr">
        <is>
          <t>VÄSTRA GÖTALANDS LÄN</t>
        </is>
      </c>
      <c r="G241" t="inlineStr">
        <is>
          <t>VÅRGÅRDA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45237</v>
      </c>
      <c r="E242" s="1" t="n">
        <v>46311</v>
      </c>
      <c r="F242" t="inlineStr">
        <is>
          <t>VÄSTRA GÖTALANDS LÄN</t>
        </is>
      </c>
      <c r="G242" t="inlineStr">
        <is>
          <t>VÅRGÅRDA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46311</v>
      </c>
      <c r="F243" t="inlineStr">
        <is>
          <t>VÄSTRA GÖTALANDS LÄN</t>
        </is>
      </c>
      <c r="G243" t="inlineStr">
        <is>
          <t>VÅRGÅRDA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46311</v>
      </c>
      <c r="F244" t="inlineStr">
        <is>
          <t>VÄSTRA GÖTALANDS LÄN</t>
        </is>
      </c>
      <c r="G244" t="inlineStr">
        <is>
          <t>VÅRGÅRDA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46311</v>
      </c>
      <c r="F245" t="inlineStr">
        <is>
          <t>VÄSTRA GÖTALANDS LÄN</t>
        </is>
      </c>
      <c r="G245" t="inlineStr">
        <is>
          <t>VÅRGÅRDA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46276</v>
      </c>
      <c r="E246" s="1" t="n">
        <v>46311</v>
      </c>
      <c r="F246" t="inlineStr">
        <is>
          <t>VÄSTRA GÖTALANDS LÄN</t>
        </is>
      </c>
      <c r="G246" t="inlineStr">
        <is>
          <t>VÅRGÅRDA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44968</v>
      </c>
      <c r="E247" s="1" t="n">
        <v>46311</v>
      </c>
      <c r="F247" t="inlineStr">
        <is>
          <t>VÄSTRA GÖTALANDS LÄN</t>
        </is>
      </c>
      <c r="G247" t="inlineStr">
        <is>
          <t>VÅRGÅRDA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45273</v>
      </c>
      <c r="E248" s="1" t="n">
        <v>46311</v>
      </c>
      <c r="F248" t="inlineStr">
        <is>
          <t>VÄSTRA GÖTALANDS LÄN</t>
        </is>
      </c>
      <c r="G248" t="inlineStr">
        <is>
          <t>VÅRGÅRDA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46276</v>
      </c>
      <c r="E249" s="1" t="n">
        <v>46311</v>
      </c>
      <c r="F249" t="inlineStr">
        <is>
          <t>VÄSTRA GÖTALANDS LÄN</t>
        </is>
      </c>
      <c r="G249" t="inlineStr">
        <is>
          <t>VÅRGÅRDA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46311</v>
      </c>
      <c r="F250" t="inlineStr">
        <is>
          <t>VÄSTRA GÖTALANDS LÄN</t>
        </is>
      </c>
      <c r="G250" t="inlineStr">
        <is>
          <t>VÅRGÅRDA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45968</v>
      </c>
      <c r="E251" s="1" t="n">
        <v>46311</v>
      </c>
      <c r="F251" t="inlineStr">
        <is>
          <t>VÄSTRA GÖTALANDS LÄN</t>
        </is>
      </c>
      <c r="G251" t="inlineStr">
        <is>
          <t>VÅRGÅRDA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46311</v>
      </c>
      <c r="F252" t="inlineStr">
        <is>
          <t>VÄSTRA GÖTALANDS LÄN</t>
        </is>
      </c>
      <c r="G252" t="inlineStr">
        <is>
          <t>VÅRGÅRDA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46311</v>
      </c>
      <c r="F253" t="inlineStr">
        <is>
          <t>VÄSTRA GÖTALANDS LÄN</t>
        </is>
      </c>
      <c r="G253" t="inlineStr">
        <is>
          <t>VÅRGÅRDA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45397</v>
      </c>
      <c r="E254" s="1" t="n">
        <v>46311</v>
      </c>
      <c r="F254" t="inlineStr">
        <is>
          <t>VÄSTRA GÖTALANDS LÄN</t>
        </is>
      </c>
      <c r="G254" t="inlineStr">
        <is>
          <t>VÅRGÅRDA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46311</v>
      </c>
      <c r="F255" t="inlineStr">
        <is>
          <t>VÄSTRA GÖTALANDS LÄN</t>
        </is>
      </c>
      <c r="G255" t="inlineStr">
        <is>
          <t>VÅRGÅRDA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45469</v>
      </c>
      <c r="E256" s="1" t="n">
        <v>46311</v>
      </c>
      <c r="F256" t="inlineStr">
        <is>
          <t>VÄSTRA GÖTALANDS LÄN</t>
        </is>
      </c>
      <c r="G256" t="inlineStr">
        <is>
          <t>VÅRGÅRDA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46311</v>
      </c>
      <c r="F257" t="inlineStr">
        <is>
          <t>VÄSTRA GÖTALANDS LÄN</t>
        </is>
      </c>
      <c r="G257" t="inlineStr">
        <is>
          <t>VÅRGÅRDA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46311</v>
      </c>
      <c r="F258" t="inlineStr">
        <is>
          <t>VÄSTRA GÖTALANDS LÄN</t>
        </is>
      </c>
      <c r="G258" t="inlineStr">
        <is>
          <t>VÅRGÅRDA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46281</v>
      </c>
      <c r="E259" s="1" t="n">
        <v>46311</v>
      </c>
      <c r="F259" t="inlineStr">
        <is>
          <t>VÄSTRA GÖTALANDS LÄN</t>
        </is>
      </c>
      <c r="G259" t="inlineStr">
        <is>
          <t>VÅRGÅRDA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46240</v>
      </c>
      <c r="E260" s="1" t="n">
        <v>46311</v>
      </c>
      <c r="F260" t="inlineStr">
        <is>
          <t>VÄSTRA GÖTALANDS LÄN</t>
        </is>
      </c>
      <c r="G260" t="inlineStr">
        <is>
          <t>VÅRGÅRDA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46311</v>
      </c>
      <c r="F261" t="inlineStr">
        <is>
          <t>VÄSTRA GÖTALANDS LÄN</t>
        </is>
      </c>
      <c r="G261" t="inlineStr">
        <is>
          <t>VÅRGÅRDA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46287</v>
      </c>
      <c r="E262" s="1" t="n">
        <v>46311</v>
      </c>
      <c r="F262" t="inlineStr">
        <is>
          <t>VÄSTRA GÖTALANDS LÄN</t>
        </is>
      </c>
      <c r="G262" t="inlineStr">
        <is>
          <t>VÅRGÅRDA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46311</v>
      </c>
      <c r="F263" t="inlineStr">
        <is>
          <t>VÄSTRA GÖTALANDS LÄN</t>
        </is>
      </c>
      <c r="G263" t="inlineStr">
        <is>
          <t>VÅRGÅRDA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46311</v>
      </c>
      <c r="F264" t="inlineStr">
        <is>
          <t>VÄSTRA GÖTALANDS LÄN</t>
        </is>
      </c>
      <c r="G264" t="inlineStr">
        <is>
          <t>VÅRGÅRDA</t>
        </is>
      </c>
      <c r="H264" t="inlineStr">
        <is>
          <t>Kyrkan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46311</v>
      </c>
      <c r="F265" t="inlineStr">
        <is>
          <t>VÄSTRA GÖTALANDS LÄN</t>
        </is>
      </c>
      <c r="G265" t="inlineStr">
        <is>
          <t>VÅRGÅRDA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46246</v>
      </c>
      <c r="E266" s="1" t="n">
        <v>46311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46311</v>
      </c>
      <c r="F267" t="inlineStr">
        <is>
          <t>VÄSTRA GÖTALANDS LÄN</t>
        </is>
      </c>
      <c r="G267" t="inlineStr">
        <is>
          <t>VÅRGÅRDA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46311</v>
      </c>
      <c r="F268" t="inlineStr">
        <is>
          <t>VÄSTRA GÖTALANDS LÄN</t>
        </is>
      </c>
      <c r="G268" t="inlineStr">
        <is>
          <t>VÅRGÅRDA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33343-2026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46311</v>
      </c>
      <c r="F269" t="inlineStr">
        <is>
          <t>VÄSTRA GÖTALANDS LÄN</t>
        </is>
      </c>
      <c r="G269" t="inlineStr">
        <is>
          <t>VÅRGÅRDA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46311</v>
      </c>
      <c r="F270" t="inlineStr">
        <is>
          <t>VÄSTRA GÖTALANDS LÄN</t>
        </is>
      </c>
      <c r="G270" t="inlineStr">
        <is>
          <t>VÅRGÅRDA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39767-2026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46290</v>
      </c>
      <c r="E271" s="1" t="n">
        <v>46311</v>
      </c>
      <c r="F271" t="inlineStr">
        <is>
          <t>VÄSTRA GÖTALANDS LÄN</t>
        </is>
      </c>
      <c r="G271" t="inlineStr">
        <is>
          <t>VÅRGÅRDA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46311</v>
      </c>
      <c r="F272" t="inlineStr">
        <is>
          <t>VÄSTRA GÖTALANDS LÄN</t>
        </is>
      </c>
      <c r="G272" t="inlineStr">
        <is>
          <t>VÅRGÅRDA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39765-2026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46290</v>
      </c>
      <c r="E273" s="1" t="n">
        <v>46311</v>
      </c>
      <c r="F273" t="inlineStr">
        <is>
          <t>VÄSTRA GÖTALANDS LÄN</t>
        </is>
      </c>
      <c r="G273" t="inlineStr">
        <is>
          <t>VÅRGÅRDA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46311</v>
      </c>
      <c r="F274" t="inlineStr">
        <is>
          <t>VÄSTRA GÖTALANDS LÄN</t>
        </is>
      </c>
      <c r="G274" t="inlineStr">
        <is>
          <t>VÅRGÅRDA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46290</v>
      </c>
      <c r="E275" s="1" t="n">
        <v>46311</v>
      </c>
      <c r="F275" t="inlineStr">
        <is>
          <t>VÄSTRA GÖTALANDS LÄN</t>
        </is>
      </c>
      <c r="G275" t="inlineStr">
        <is>
          <t>VÅRGÅRDA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46290</v>
      </c>
      <c r="E276" s="1" t="n">
        <v>46311</v>
      </c>
      <c r="F276" t="inlineStr">
        <is>
          <t>VÄSTRA GÖTALANDS LÄN</t>
        </is>
      </c>
      <c r="G276" t="inlineStr">
        <is>
          <t>VÅRGÅRDA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46311</v>
      </c>
      <c r="F277" t="inlineStr">
        <is>
          <t>VÄSTRA GÖTALANDS LÄN</t>
        </is>
      </c>
      <c r="G277" t="inlineStr">
        <is>
          <t>VÅRGÅRDA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46311</v>
      </c>
      <c r="F278" t="inlineStr">
        <is>
          <t>VÄSTRA GÖTALANDS LÄN</t>
        </is>
      </c>
      <c r="G278" t="inlineStr">
        <is>
          <t>VÅRGÅRDA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46294</v>
      </c>
      <c r="E279" s="1" t="n">
        <v>46311</v>
      </c>
      <c r="F279" t="inlineStr">
        <is>
          <t>VÄSTRA GÖTALANDS LÄN</t>
        </is>
      </c>
      <c r="G279" t="inlineStr">
        <is>
          <t>VÅRGÅRDA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45782</v>
      </c>
      <c r="E280" s="1" t="n">
        <v>46311</v>
      </c>
      <c r="F280" t="inlineStr">
        <is>
          <t>VÄSTRA GÖTALANDS LÄN</t>
        </is>
      </c>
      <c r="G280" t="inlineStr">
        <is>
          <t>VÅRGÅRDA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45989</v>
      </c>
      <c r="E281" s="1" t="n">
        <v>46311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46311</v>
      </c>
      <c r="F282" t="inlineStr">
        <is>
          <t>VÄSTRA GÖTALANDS LÄN</t>
        </is>
      </c>
      <c r="G282" t="inlineStr">
        <is>
          <t>VÅRGÅRDA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46311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Övriga statliga verk och myndigheter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46287</v>
      </c>
      <c r="E284" s="1" t="n">
        <v>46311</v>
      </c>
      <c r="F284" t="inlineStr">
        <is>
          <t>VÄSTRA GÖTALANDS LÄN</t>
        </is>
      </c>
      <c r="G284" t="inlineStr">
        <is>
          <t>VÅRGÅRDA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46248</v>
      </c>
      <c r="E285" s="1" t="n">
        <v>46311</v>
      </c>
      <c r="F285" t="inlineStr">
        <is>
          <t>VÄSTRA GÖTALANDS LÄN</t>
        </is>
      </c>
      <c r="G285" t="inlineStr">
        <is>
          <t>VÅRGÅRDA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46311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Övriga statliga verk och myndigheter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46296</v>
      </c>
      <c r="E287" s="1" t="n">
        <v>46311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46311</v>
      </c>
      <c r="F288" t="inlineStr">
        <is>
          <t>VÄSTRA GÖTALANDS LÄN</t>
        </is>
      </c>
      <c r="G288" t="inlineStr">
        <is>
          <t>VÅRGÅRDA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46311</v>
      </c>
      <c r="F289" t="inlineStr">
        <is>
          <t>VÄSTRA GÖTALANDS LÄN</t>
        </is>
      </c>
      <c r="G289" t="inlineStr">
        <is>
          <t>VÅRGÅRDA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46311</v>
      </c>
      <c r="F290" t="inlineStr">
        <is>
          <t>VÄSTRA GÖTALANDS LÄN</t>
        </is>
      </c>
      <c r="G290" t="inlineStr">
        <is>
          <t>VÅRGÅRDA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46252</v>
      </c>
      <c r="E291" s="1" t="n">
        <v>46311</v>
      </c>
      <c r="F291" t="inlineStr">
        <is>
          <t>VÄSTRA GÖTALANDS LÄN</t>
        </is>
      </c>
      <c r="G291" t="inlineStr">
        <is>
          <t>VÅRGÅRDA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46311</v>
      </c>
      <c r="F292" t="inlineStr">
        <is>
          <t>VÄSTRA GÖTALANDS LÄN</t>
        </is>
      </c>
      <c r="G292" t="inlineStr">
        <is>
          <t>VÅRGÅRDA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46311</v>
      </c>
      <c r="F293" t="inlineStr">
        <is>
          <t>VÄSTRA GÖTALANDS LÄN</t>
        </is>
      </c>
      <c r="G293" t="inlineStr">
        <is>
          <t>VÅRGÅRDA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45703</v>
      </c>
      <c r="E294" s="1" t="n">
        <v>46311</v>
      </c>
      <c r="F294" t="inlineStr">
        <is>
          <t>VÄSTRA GÖTALANDS LÄN</t>
        </is>
      </c>
      <c r="G294" t="inlineStr">
        <is>
          <t>VÅRGÅRDA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45706</v>
      </c>
      <c r="E295" s="1" t="n">
        <v>46311</v>
      </c>
      <c r="F295" t="inlineStr">
        <is>
          <t>VÄSTRA GÖTALANDS LÄN</t>
        </is>
      </c>
      <c r="G295" t="inlineStr">
        <is>
          <t>VÅRGÅRDA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45693</v>
      </c>
      <c r="E296" s="1" t="n">
        <v>46311</v>
      </c>
      <c r="F296" t="inlineStr">
        <is>
          <t>VÄSTRA GÖTALANDS LÄN</t>
        </is>
      </c>
      <c r="G296" t="inlineStr">
        <is>
          <t>VÅRGÅRDA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46311</v>
      </c>
      <c r="F297" t="inlineStr">
        <is>
          <t>VÄSTRA GÖTALANDS LÄN</t>
        </is>
      </c>
      <c r="G297" t="inlineStr">
        <is>
          <t>VÅRGÅRDA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35075-2026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46259</v>
      </c>
      <c r="E298" s="1" t="n">
        <v>46311</v>
      </c>
      <c r="F298" t="inlineStr">
        <is>
          <t>VÄSTRA GÖTALANDS LÄN</t>
        </is>
      </c>
      <c r="G298" t="inlineStr">
        <is>
          <t>VÅRGÅRDA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45576</v>
      </c>
      <c r="E299" s="1" t="n">
        <v>46311</v>
      </c>
      <c r="F299" t="inlineStr">
        <is>
          <t>VÄSTRA GÖTALANDS LÄN</t>
        </is>
      </c>
      <c r="G299" t="inlineStr">
        <is>
          <t>VÅRGÅRDA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46032</v>
      </c>
      <c r="E300" s="1" t="n">
        <v>46311</v>
      </c>
      <c r="F300" t="inlineStr">
        <is>
          <t>VÄSTRA GÖTALANDS LÄN</t>
        </is>
      </c>
      <c r="G300" t="inlineStr">
        <is>
          <t>VÅRGÅRDA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25324-2025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45800</v>
      </c>
      <c r="E301" s="1" t="n">
        <v>46311</v>
      </c>
      <c r="F301" t="inlineStr">
        <is>
          <t>VÄSTRA GÖTALANDS LÄN</t>
        </is>
      </c>
      <c r="G301" t="inlineStr">
        <is>
          <t>VÅRGÅRDA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46311</v>
      </c>
      <c r="F302" t="inlineStr">
        <is>
          <t>VÄSTRA GÖTALANDS LÄN</t>
        </is>
      </c>
      <c r="G302" t="inlineStr">
        <is>
          <t>VÅRGÅRDA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46032</v>
      </c>
      <c r="E303" s="1" t="n">
        <v>46311</v>
      </c>
      <c r="F303" t="inlineStr">
        <is>
          <t>VÄSTRA GÖTALANDS LÄN</t>
        </is>
      </c>
      <c r="G303" t="inlineStr">
        <is>
          <t>VÅRGÅRDA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46311</v>
      </c>
      <c r="F304" t="inlineStr">
        <is>
          <t>VÄSTRA GÖTALANDS LÄN</t>
        </is>
      </c>
      <c r="G304" t="inlineStr">
        <is>
          <t>VÅRGÅRDA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46311</v>
      </c>
      <c r="F305" t="inlineStr">
        <is>
          <t>VÄSTRA GÖTALANDS LÄN</t>
        </is>
      </c>
      <c r="G305" t="inlineStr">
        <is>
          <t>VÅRGÅRDA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46260</v>
      </c>
      <c r="E306" s="1" t="n">
        <v>46311</v>
      </c>
      <c r="F306" t="inlineStr">
        <is>
          <t>VÄSTRA GÖTALANDS LÄN</t>
        </is>
      </c>
      <c r="G306" t="inlineStr">
        <is>
          <t>VÅRGÅRDA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46311</v>
      </c>
      <c r="F307" t="inlineStr">
        <is>
          <t>VÄSTRA GÖTALANDS LÄN</t>
        </is>
      </c>
      <c r="G307" t="inlineStr">
        <is>
          <t>VÅRGÅRDA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46311</v>
      </c>
      <c r="F308" t="inlineStr">
        <is>
          <t>VÄSTRA GÖTALANDS LÄN</t>
        </is>
      </c>
      <c r="G308" t="inlineStr">
        <is>
          <t>VÅRGÅRDA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46311</v>
      </c>
      <c r="F309" t="inlineStr">
        <is>
          <t>VÄSTRA GÖTALANDS LÄN</t>
        </is>
      </c>
      <c r="G309" t="inlineStr">
        <is>
          <t>VÅRGÅRDA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46311</v>
      </c>
      <c r="F310" t="inlineStr">
        <is>
          <t>VÄSTRA GÖTALANDS LÄN</t>
        </is>
      </c>
      <c r="G310" t="inlineStr">
        <is>
          <t>VÅRGÅRDA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46311</v>
      </c>
      <c r="F311" t="inlineStr">
        <is>
          <t>VÄSTRA GÖTALANDS LÄN</t>
        </is>
      </c>
      <c r="G311" t="inlineStr">
        <is>
          <t>VÅRGÅRDA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46311</v>
      </c>
      <c r="F312" t="inlineStr">
        <is>
          <t>VÄSTRA GÖTALANDS LÄN</t>
        </is>
      </c>
      <c r="G312" t="inlineStr">
        <is>
          <t>VÅRGÅRDA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46311</v>
      </c>
      <c r="F313" t="inlineStr">
        <is>
          <t>VÄSTRA GÖTALANDS LÄN</t>
        </is>
      </c>
      <c r="G313" t="inlineStr">
        <is>
          <t>VÅRGÅRDA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46036</v>
      </c>
      <c r="E314" s="1" t="n">
        <v>46311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46311</v>
      </c>
      <c r="F315" t="inlineStr">
        <is>
          <t>VÄSTRA GÖTALANDS LÄN</t>
        </is>
      </c>
      <c r="G315" t="inlineStr">
        <is>
          <t>VÅRGÅRDA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46311</v>
      </c>
      <c r="F316" t="inlineStr">
        <is>
          <t>VÄSTRA GÖTALANDS LÄN</t>
        </is>
      </c>
      <c r="G316" t="inlineStr">
        <is>
          <t>VÅRGÅRDA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46311</v>
      </c>
      <c r="F317" t="inlineStr">
        <is>
          <t>VÄSTRA GÖTALANDS LÄN</t>
        </is>
      </c>
      <c r="G317" t="inlineStr">
        <is>
          <t>VÅRGÅRDA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46307</v>
      </c>
      <c r="E318" s="1" t="n">
        <v>46311</v>
      </c>
      <c r="F318" t="inlineStr">
        <is>
          <t>VÄSTRA GÖTALANDS LÄN</t>
        </is>
      </c>
      <c r="G318" t="inlineStr">
        <is>
          <t>VÅRGÅRDA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46051</v>
      </c>
      <c r="E319" s="1" t="n">
        <v>46311</v>
      </c>
      <c r="F319" t="inlineStr">
        <is>
          <t>VÄSTRA GÖTALANDS LÄN</t>
        </is>
      </c>
      <c r="G319" t="inlineStr">
        <is>
          <t>VÅRGÅRDA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46311</v>
      </c>
      <c r="F320" t="inlineStr">
        <is>
          <t>VÄSTRA GÖTALANDS LÄN</t>
        </is>
      </c>
      <c r="G320" t="inlineStr">
        <is>
          <t>VÅRGÅRDA</t>
        </is>
      </c>
      <c r="I320" t="n">
        <v>9.199999999999999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46237-2025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46311</v>
      </c>
      <c r="F321" t="inlineStr">
        <is>
          <t>VÄSTRA GÖTALANDS LÄN</t>
        </is>
      </c>
      <c r="G321" t="inlineStr">
        <is>
          <t>VÅRGÅRDA</t>
        </is>
      </c>
      <c r="I321" t="n">
        <v>14.2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46310</v>
      </c>
      <c r="E322" s="1" t="n">
        <v>46311</v>
      </c>
      <c r="F322" t="inlineStr">
        <is>
          <t>VÄSTRA GÖTALANDS LÄN</t>
        </is>
      </c>
      <c r="G322" t="inlineStr">
        <is>
          <t>VÅRGÅRDA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46311</v>
      </c>
      <c r="F323" t="inlineStr">
        <is>
          <t>VÄSTRA GÖTALANDS LÄN</t>
        </is>
      </c>
      <c r="G323" t="inlineStr">
        <is>
          <t>VÅRGÅRDA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46311</v>
      </c>
      <c r="F324" t="inlineStr">
        <is>
          <t>VÄSTRA GÖTALANDS LÄN</t>
        </is>
      </c>
      <c r="G324" t="inlineStr">
        <is>
          <t>VÅRGÅRDA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46310</v>
      </c>
      <c r="E325" s="1" t="n">
        <v>46311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46311</v>
      </c>
      <c r="F326" t="inlineStr">
        <is>
          <t>VÄSTRA GÖTALANDS LÄN</t>
        </is>
      </c>
      <c r="G326" t="inlineStr">
        <is>
          <t>VÅRGÅRDA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46311</v>
      </c>
      <c r="F327" t="inlineStr">
        <is>
          <t>VÄSTRA GÖTALANDS LÄN</t>
        </is>
      </c>
      <c r="G327" t="inlineStr">
        <is>
          <t>VÅRGÅRDA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46311</v>
      </c>
      <c r="F328" t="inlineStr">
        <is>
          <t>VÄSTRA GÖTALANDS LÄN</t>
        </is>
      </c>
      <c r="G328" t="inlineStr">
        <is>
          <t>VÅRGÅRDA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9305-2026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46070</v>
      </c>
      <c r="E329" s="1" t="n">
        <v>46311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9261-2026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46070</v>
      </c>
      <c r="E330" s="1" t="n">
        <v>46311</v>
      </c>
      <c r="F330" t="inlineStr">
        <is>
          <t>VÄSTRA GÖTALANDS LÄN</t>
        </is>
      </c>
      <c r="G330" t="inlineStr">
        <is>
          <t>VÅRGÅRDA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9301-2026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46070</v>
      </c>
      <c r="E331" s="1" t="n">
        <v>46311</v>
      </c>
      <c r="F331" t="inlineStr">
        <is>
          <t>VÄSTRA GÖTALANDS LÄN</t>
        </is>
      </c>
      <c r="G331" t="inlineStr">
        <is>
          <t>VÅRGÅRDA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9297-2026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46070</v>
      </c>
      <c r="E332" s="1" t="n">
        <v>46311</v>
      </c>
      <c r="F332" t="inlineStr">
        <is>
          <t>VÄSTRA GÖTALANDS LÄN</t>
        </is>
      </c>
      <c r="G332" t="inlineStr">
        <is>
          <t>VÅRGÅRDA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46311</v>
      </c>
      <c r="F333" t="inlineStr">
        <is>
          <t>VÄSTRA GÖTALANDS LÄN</t>
        </is>
      </c>
      <c r="G333" t="inlineStr">
        <is>
          <t>VÅRGÅRDA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46311</v>
      </c>
      <c r="F334" t="inlineStr">
        <is>
          <t>VÄSTRA GÖTALANDS LÄN</t>
        </is>
      </c>
      <c r="G334" t="inlineStr">
        <is>
          <t>VÅRGÅRDA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46311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Sveaskog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46311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46311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46311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46311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46311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46311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46311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46311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46311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46311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46311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46311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46311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2026-10-16T02:16:58Z</dcterms:created>
  <dcterms:modified xmlns:dcterms="http://purl.org/dc/terms/" xmlns:xsi="http://www.w3.org/2001/XMLSchema-instance" xsi:type="dcterms:W3CDTF">2026-10-16T02:16:59Z</dcterms:modified>
</cp:coreProperties>
</file>