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46193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46193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46193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16590-2025</t>
        </is>
      </c>
      <c r="B5" s="1" t="n">
        <v>45752</v>
      </c>
      <c r="C5" s="1" t="n">
        <v>46193</v>
      </c>
      <c r="D5" t="inlineStr">
        <is>
          <t>VÄSTRA GÖTALANDS LÄN</t>
        </is>
      </c>
      <c r="E5" t="inlineStr">
        <is>
          <t>VÅRGÅRDA</t>
        </is>
      </c>
      <c r="G5" t="n">
        <v>3.1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Granspira</t>
        </is>
      </c>
      <c r="S5">
        <f>HYPERLINK("https://klasma.github.io/Logging_1442/artfynd/A 16590-2025 artfynd.xlsx", "A 16590-2025")</f>
        <v/>
      </c>
      <c r="T5">
        <f>HYPERLINK("https://klasma.github.io/Logging_1442/kartor/A 16590-2025 karta.png", "A 16590-2025")</f>
        <v/>
      </c>
      <c r="V5">
        <f>HYPERLINK("https://klasma.github.io/Logging_1442/klagomål/A 16590-2025 FSC-klagomål.docx", "A 16590-2025")</f>
        <v/>
      </c>
      <c r="W5">
        <f>HYPERLINK("https://klasma.github.io/Logging_1442/klagomålsmail/A 16590-2025 FSC-klagomål mail.docx", "A 16590-2025")</f>
        <v/>
      </c>
      <c r="X5">
        <f>HYPERLINK("https://klasma.github.io/Logging_1442/tillsyn/A 16590-2025 tillsynsbegäran.docx", "A 16590-2025")</f>
        <v/>
      </c>
      <c r="Y5">
        <f>HYPERLINK("https://klasma.github.io/Logging_1442/tillsynsmail/A 16590-2025 tillsynsbegäran mail.docx", "A 16590-2025")</f>
        <v/>
      </c>
    </row>
    <row r="6" ht="15" customHeight="1">
      <c r="A6" t="inlineStr">
        <is>
          <t>A 43593-2025</t>
        </is>
      </c>
      <c r="B6" s="1" t="n">
        <v>45911</v>
      </c>
      <c r="C6" s="1" t="n">
        <v>46193</v>
      </c>
      <c r="D6" t="inlineStr">
        <is>
          <t>VÄSTRA GÖTALANDS LÄN</t>
        </is>
      </c>
      <c r="E6" t="inlineStr">
        <is>
          <t>VÅRGÅRDA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HYPERLINK("https://klasma.github.io/Logging_1442/artfynd/A 43593-2025 artfynd.xlsx", "A 43593-2025")</f>
        <v/>
      </c>
      <c r="T6">
        <f>HYPERLINK("https://klasma.github.io/Logging_1442/kartor/A 43593-2025 karta.png", "A 43593-2025")</f>
        <v/>
      </c>
      <c r="V6">
        <f>HYPERLINK("https://klasma.github.io/Logging_1442/klagomål/A 43593-2025 FSC-klagomål.docx", "A 43593-2025")</f>
        <v/>
      </c>
      <c r="W6">
        <f>HYPERLINK("https://klasma.github.io/Logging_1442/klagomålsmail/A 43593-2025 FSC-klagomål mail.docx", "A 43593-2025")</f>
        <v/>
      </c>
      <c r="X6">
        <f>HYPERLINK("https://klasma.github.io/Logging_1442/tillsyn/A 43593-2025 tillsynsbegäran.docx", "A 43593-2025")</f>
        <v/>
      </c>
      <c r="Y6">
        <f>HYPERLINK("https://klasma.github.io/Logging_1442/tillsynsmail/A 43593-2025 tillsynsbegäran mail.docx", "A 43593-2025")</f>
        <v/>
      </c>
      <c r="Z6">
        <f>HYPERLINK("https://klasma.github.io/Logging_1442/fåglar/A 43593-2025 prioriterade fågelarter.docx", "A 43593-2025")</f>
        <v/>
      </c>
    </row>
    <row r="7" ht="15" customHeight="1">
      <c r="A7" t="inlineStr">
        <is>
          <t>A 17527-2025</t>
        </is>
      </c>
      <c r="B7" s="1" t="n">
        <v>45757</v>
      </c>
      <c r="C7" s="1" t="n">
        <v>46193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17527-2025 artfynd.xlsx", "A 17527-2025")</f>
        <v/>
      </c>
      <c r="T7">
        <f>HYPERLINK("https://klasma.github.io/Logging_1442/kartor/A 17527-2025 karta.png", "A 17527-2025")</f>
        <v/>
      </c>
      <c r="V7">
        <f>HYPERLINK("https://klasma.github.io/Logging_1442/klagomål/A 17527-2025 FSC-klagomål.docx", "A 17527-2025")</f>
        <v/>
      </c>
      <c r="W7">
        <f>HYPERLINK("https://klasma.github.io/Logging_1442/klagomålsmail/A 17527-2025 FSC-klagomål mail.docx", "A 17527-2025")</f>
        <v/>
      </c>
      <c r="X7">
        <f>HYPERLINK("https://klasma.github.io/Logging_1442/tillsyn/A 17527-2025 tillsynsbegäran.docx", "A 17527-2025")</f>
        <v/>
      </c>
      <c r="Y7">
        <f>HYPERLINK("https://klasma.github.io/Logging_1442/tillsynsmail/A 17527-2025 tillsynsbegäran mail.docx", "A 17527-2025")</f>
        <v/>
      </c>
    </row>
    <row r="8" ht="15" customHeight="1">
      <c r="A8" t="inlineStr">
        <is>
          <t>A 47506-2023</t>
        </is>
      </c>
      <c r="B8" s="1" t="n">
        <v>45203</v>
      </c>
      <c r="C8" s="1" t="n">
        <v>46193</v>
      </c>
      <c r="D8" t="inlineStr">
        <is>
          <t>VÄSTRA GÖTALANDS LÄN</t>
        </is>
      </c>
      <c r="E8" t="inlineStr">
        <is>
          <t>VÅRGÅRDA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HYPERLINK("https://klasma.github.io/Logging_1442/artfynd/A 47506-2023 artfynd.xlsx", "A 47506-2023")</f>
        <v/>
      </c>
      <c r="T8">
        <f>HYPERLINK("https://klasma.github.io/Logging_1442/kartor/A 47506-2023 karta.png", "A 47506-2023")</f>
        <v/>
      </c>
      <c r="V8">
        <f>HYPERLINK("https://klasma.github.io/Logging_1442/klagomål/A 47506-2023 FSC-klagomål.docx", "A 47506-2023")</f>
        <v/>
      </c>
      <c r="W8">
        <f>HYPERLINK("https://klasma.github.io/Logging_1442/klagomålsmail/A 47506-2023 FSC-klagomål mail.docx", "A 47506-2023")</f>
        <v/>
      </c>
      <c r="X8">
        <f>HYPERLINK("https://klasma.github.io/Logging_1442/tillsyn/A 47506-2023 tillsynsbegäran.docx", "A 47506-2023")</f>
        <v/>
      </c>
      <c r="Y8">
        <f>HYPERLINK("https://klasma.github.io/Logging_1442/tillsynsmail/A 47506-2023 tillsynsbegäran mail.docx", "A 47506-2023")</f>
        <v/>
      </c>
    </row>
    <row r="9" ht="15" customHeight="1">
      <c r="A9" t="inlineStr">
        <is>
          <t>A 48760-2025</t>
        </is>
      </c>
      <c r="B9" s="1" t="n">
        <v>45936</v>
      </c>
      <c r="C9" s="1" t="n">
        <v>46193</v>
      </c>
      <c r="D9" t="inlineStr">
        <is>
          <t>VÄSTRA GÖTALANDS LÄN</t>
        </is>
      </c>
      <c r="E9" t="inlineStr">
        <is>
          <t>VÅRGÅRDA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HYPERLINK("https://klasma.github.io/Logging_1442/artfynd/A 48760-2025 artfynd.xlsx", "A 48760-2025")</f>
        <v/>
      </c>
      <c r="T9">
        <f>HYPERLINK("https://klasma.github.io/Logging_1442/kartor/A 48760-2025 karta.png", "A 48760-2025")</f>
        <v/>
      </c>
      <c r="V9">
        <f>HYPERLINK("https://klasma.github.io/Logging_1442/klagomål/A 48760-2025 FSC-klagomål.docx", "A 48760-2025")</f>
        <v/>
      </c>
      <c r="W9">
        <f>HYPERLINK("https://klasma.github.io/Logging_1442/klagomålsmail/A 48760-2025 FSC-klagomål mail.docx", "A 48760-2025")</f>
        <v/>
      </c>
      <c r="X9">
        <f>HYPERLINK("https://klasma.github.io/Logging_1442/tillsyn/A 48760-2025 tillsynsbegäran.docx", "A 48760-2025")</f>
        <v/>
      </c>
      <c r="Y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s="1" t="n">
        <v>45937</v>
      </c>
      <c r="C10" s="1" t="n">
        <v>46193</v>
      </c>
      <c r="D10" t="inlineStr">
        <is>
          <t>VÄSTRA GÖTALANDS LÄN</t>
        </is>
      </c>
      <c r="E10" t="inlineStr">
        <is>
          <t>VÅRGÅRDA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Älg</t>
        </is>
      </c>
      <c r="S10">
        <f>HYPERLINK("https://klasma.github.io/Logging_1442/artfynd/A 48955-2025 artfynd.xlsx", "A 48955-2025")</f>
        <v/>
      </c>
      <c r="T10">
        <f>HYPERLINK("https://klasma.github.io/Logging_1442/kartor/A 48955-2025 karta.png", "A 48955-2025")</f>
        <v/>
      </c>
      <c r="V10">
        <f>HYPERLINK("https://klasma.github.io/Logging_1442/klagomål/A 48955-2025 FSC-klagomål.docx", "A 48955-2025")</f>
        <v/>
      </c>
      <c r="W10">
        <f>HYPERLINK("https://klasma.github.io/Logging_1442/klagomålsmail/A 48955-2025 FSC-klagomål mail.docx", "A 48955-2025")</f>
        <v/>
      </c>
      <c r="X10">
        <f>HYPERLINK("https://klasma.github.io/Logging_1442/tillsyn/A 48955-2025 tillsynsbegäran.docx", "A 48955-2025")</f>
        <v/>
      </c>
      <c r="Y10">
        <f>HYPERLINK("https://klasma.github.io/Logging_1442/tillsynsmail/A 48955-2025 tillsynsbegäran mail.docx", "A 48955-2025")</f>
        <v/>
      </c>
    </row>
    <row r="11" ht="15" customHeight="1">
      <c r="A11" t="inlineStr">
        <is>
          <t>A 16587-2025</t>
        </is>
      </c>
      <c r="B11" s="1" t="n">
        <v>45752</v>
      </c>
      <c r="C11" s="1" t="n">
        <v>46193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16587-2025 artfynd.xlsx", "A 16587-2025")</f>
        <v/>
      </c>
      <c r="T11">
        <f>HYPERLINK("https://klasma.github.io/Logging_1442/kartor/A 16587-2025 karta.png", "A 16587-2025")</f>
        <v/>
      </c>
      <c r="V11">
        <f>HYPERLINK("https://klasma.github.io/Logging_1442/klagomål/A 16587-2025 FSC-klagomål.docx", "A 16587-2025")</f>
        <v/>
      </c>
      <c r="W11">
        <f>HYPERLINK("https://klasma.github.io/Logging_1442/klagomålsmail/A 16587-2025 FSC-klagomål mail.docx", "A 16587-2025")</f>
        <v/>
      </c>
      <c r="X11">
        <f>HYPERLINK("https://klasma.github.io/Logging_1442/tillsyn/A 16587-2025 tillsynsbegäran.docx", "A 16587-2025")</f>
        <v/>
      </c>
      <c r="Y11">
        <f>HYPERLINK("https://klasma.github.io/Logging_1442/tillsynsmail/A 16587-2025 tillsynsbegäran mail.docx", "A 16587-2025")</f>
        <v/>
      </c>
    </row>
    <row r="12" ht="15" customHeight="1">
      <c r="A12" t="inlineStr">
        <is>
          <t>A 59508-2025</t>
        </is>
      </c>
      <c r="B12" s="1" t="n">
        <v>45989</v>
      </c>
      <c r="C12" s="1" t="n">
        <v>46193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Jungfrulin</t>
        </is>
      </c>
      <c r="S12">
        <f>HYPERLINK("https://klasma.github.io/Logging_1442/artfynd/A 59508-2025 artfynd.xlsx", "A 59508-2025")</f>
        <v/>
      </c>
      <c r="T12">
        <f>HYPERLINK("https://klasma.github.io/Logging_1442/kartor/A 59508-2025 karta.png", "A 59508-2025")</f>
        <v/>
      </c>
      <c r="V12">
        <f>HYPERLINK("https://klasma.github.io/Logging_1442/klagomål/A 59508-2025 FSC-klagomål.docx", "A 59508-2025")</f>
        <v/>
      </c>
      <c r="W12">
        <f>HYPERLINK("https://klasma.github.io/Logging_1442/klagomålsmail/A 59508-2025 FSC-klagomål mail.docx", "A 59508-2025")</f>
        <v/>
      </c>
      <c r="X12">
        <f>HYPERLINK("https://klasma.github.io/Logging_1442/tillsyn/A 59508-2025 tillsynsbegäran.docx", "A 59508-2025")</f>
        <v/>
      </c>
      <c r="Y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s="1" t="n">
        <v>46036</v>
      </c>
      <c r="C13" s="1" t="n">
        <v>46193</v>
      </c>
      <c r="D13" t="inlineStr">
        <is>
          <t>VÄSTRA GÖTALANDS LÄN</t>
        </is>
      </c>
      <c r="E13" t="inlineStr">
        <is>
          <t>VÅRGÅRDA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HYPERLINK("https://klasma.github.io/Logging_1442/artfynd/A 2412-2026 artfynd.xlsx", "A 2412-2026")</f>
        <v/>
      </c>
      <c r="T13">
        <f>HYPERLINK("https://klasma.github.io/Logging_1442/kartor/A 2412-2026 karta.png", "A 2412-2026")</f>
        <v/>
      </c>
      <c r="V13">
        <f>HYPERLINK("https://klasma.github.io/Logging_1442/klagomål/A 2412-2026 FSC-klagomål.docx", "A 2412-2026")</f>
        <v/>
      </c>
      <c r="W13">
        <f>HYPERLINK("https://klasma.github.io/Logging_1442/klagomålsmail/A 2412-2026 FSC-klagomål mail.docx", "A 2412-2026")</f>
        <v/>
      </c>
      <c r="X13">
        <f>HYPERLINK("https://klasma.github.io/Logging_1442/tillsyn/A 2412-2026 tillsynsbegäran.docx", "A 2412-2026")</f>
        <v/>
      </c>
      <c r="Y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s="1" t="n">
        <v>46059</v>
      </c>
      <c r="C14" s="1" t="n">
        <v>46193</v>
      </c>
      <c r="D14" t="inlineStr">
        <is>
          <t>VÄSTRA GÖTALANDS LÄN</t>
        </is>
      </c>
      <c r="E14" t="inlineStr">
        <is>
          <t>VÅRGÅRDA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HYPERLINK("https://klasma.github.io/Logging_1442/artfynd/A 7533-2026 artfynd.xlsx", "A 7533-2026")</f>
        <v/>
      </c>
      <c r="T14">
        <f>HYPERLINK("https://klasma.github.io/Logging_1442/kartor/A 7533-2026 karta.png", "A 7533-2026")</f>
        <v/>
      </c>
      <c r="V14">
        <f>HYPERLINK("https://klasma.github.io/Logging_1442/klagomål/A 7533-2026 FSC-klagomål.docx", "A 7533-2026")</f>
        <v/>
      </c>
      <c r="W14">
        <f>HYPERLINK("https://klasma.github.io/Logging_1442/klagomålsmail/A 7533-2026 FSC-klagomål mail.docx", "A 7533-2026")</f>
        <v/>
      </c>
      <c r="X14">
        <f>HYPERLINK("https://klasma.github.io/Logging_1442/tillsyn/A 7533-2026 tillsynsbegäran.docx", "A 7533-2026")</f>
        <v/>
      </c>
      <c r="Y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s="1" t="n">
        <v>46066</v>
      </c>
      <c r="C15" s="1" t="n">
        <v>46193</v>
      </c>
      <c r="D15" t="inlineStr">
        <is>
          <t>VÄSTRA GÖTALANDS LÄN</t>
        </is>
      </c>
      <c r="E15" t="inlineStr">
        <is>
          <t>VÅRGÅRDA</t>
        </is>
      </c>
      <c r="G15" t="n">
        <v>10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HYPERLINK("https://klasma.github.io/Logging_1442/artfynd/A 8657-2026 artfynd.xlsx", "A 8657-2026")</f>
        <v/>
      </c>
      <c r="T15">
        <f>HYPERLINK("https://klasma.github.io/Logging_1442/kartor/A 8657-2026 karta.png", "A 8657-2026")</f>
        <v/>
      </c>
      <c r="V15">
        <f>HYPERLINK("https://klasma.github.io/Logging_1442/klagomål/A 8657-2026 FSC-klagomål.docx", "A 8657-2026")</f>
        <v/>
      </c>
      <c r="W15">
        <f>HYPERLINK("https://klasma.github.io/Logging_1442/klagomålsmail/A 8657-2026 FSC-klagomål mail.docx", "A 8657-2026")</f>
        <v/>
      </c>
      <c r="X15">
        <f>HYPERLINK("https://klasma.github.io/Logging_1442/tillsyn/A 8657-2026 tillsynsbegäran.docx", "A 8657-2026")</f>
        <v/>
      </c>
      <c r="Y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s="1" t="n">
        <v>45755</v>
      </c>
      <c r="C16" s="1" t="n">
        <v>46193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16912-2025 artfynd.xlsx", "A 16912-2025")</f>
        <v/>
      </c>
      <c r="T16">
        <f>HYPERLINK("https://klasma.github.io/Logging_1442/kartor/A 16912-2025 karta.png", "A 16912-2025")</f>
        <v/>
      </c>
      <c r="V16">
        <f>HYPERLINK("https://klasma.github.io/Logging_1442/klagomål/A 16912-2025 FSC-klagomål.docx", "A 16912-2025")</f>
        <v/>
      </c>
      <c r="W16">
        <f>HYPERLINK("https://klasma.github.io/Logging_1442/klagomålsmail/A 16912-2025 FSC-klagomål mail.docx", "A 16912-2025")</f>
        <v/>
      </c>
      <c r="X16">
        <f>HYPERLINK("https://klasma.github.io/Logging_1442/tillsyn/A 16912-2025 tillsynsbegäran.docx", "A 16912-2025")</f>
        <v/>
      </c>
      <c r="Y16">
        <f>HYPERLINK("https://klasma.github.io/Logging_1442/tillsynsmail/A 16912-2025 tillsynsbegäran mail.docx", "A 16912-2025")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46193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46193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46193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46193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46193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46193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46193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46193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46193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46193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46193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46193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46193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46193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46193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46193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46193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46193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46193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9090-2024</t>
        </is>
      </c>
      <c r="B39" s="1" t="n">
        <v>45357</v>
      </c>
      <c r="C39" s="1" t="n">
        <v>46193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1367-2022</t>
        </is>
      </c>
      <c r="B40" s="1" t="n">
        <v>44573</v>
      </c>
      <c r="C40" s="1" t="n">
        <v>46193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41497-2022</t>
        </is>
      </c>
      <c r="B41" s="1" t="n">
        <v>44826</v>
      </c>
      <c r="C41" s="1" t="n">
        <v>46193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9470-2022</t>
        </is>
      </c>
      <c r="B42" s="1" t="n">
        <v>44616</v>
      </c>
      <c r="C42" s="1" t="n">
        <v>46193</v>
      </c>
      <c r="D42" t="inlineStr">
        <is>
          <t>VÄSTRA GÖTALANDS LÄN</t>
        </is>
      </c>
      <c r="E42" t="inlineStr">
        <is>
          <t>VÅRGÅRDA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42359-2023</t>
        </is>
      </c>
      <c r="B43" s="1" t="n">
        <v>45180</v>
      </c>
      <c r="C43" s="1" t="n">
        <v>46193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9749-2023</t>
        </is>
      </c>
      <c r="B44" s="1" t="n">
        <v>44984</v>
      </c>
      <c r="C44" s="1" t="n">
        <v>46193</v>
      </c>
      <c r="D44" t="inlineStr">
        <is>
          <t>VÄSTRA GÖTALANDS LÄN</t>
        </is>
      </c>
      <c r="E44" t="inlineStr">
        <is>
          <t>VÅRGÅRDA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</v>
      </c>
      <c r="C45" s="1" t="n">
        <v>46193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9898-2024</t>
        </is>
      </c>
      <c r="B46" s="1" t="n">
        <v>45363</v>
      </c>
      <c r="C46" s="1" t="n">
        <v>46193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57167-2022</t>
        </is>
      </c>
      <c r="B47" s="1" t="n">
        <v>44895</v>
      </c>
      <c r="C47" s="1" t="n">
        <v>46193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46193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8983-2024</t>
        </is>
      </c>
      <c r="B49" s="1" t="n">
        <v>45356</v>
      </c>
      <c r="C49" s="1" t="n">
        <v>46193</v>
      </c>
      <c r="D49" t="inlineStr">
        <is>
          <t>VÄSTRA GÖTALANDS LÄN</t>
        </is>
      </c>
      <c r="E49" t="inlineStr">
        <is>
          <t>VÅRGÅRDA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</v>
      </c>
      <c r="C50" s="1" t="n">
        <v>46193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58074-2022</t>
        </is>
      </c>
      <c r="B51" s="1" t="n">
        <v>44900</v>
      </c>
      <c r="C51" s="1" t="n">
        <v>46193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46193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44001-2021</t>
        </is>
      </c>
      <c r="B53" s="1" t="n">
        <v>44434</v>
      </c>
      <c r="C53" s="1" t="n">
        <v>46193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62148-2022</t>
        </is>
      </c>
      <c r="B54" s="1" t="n">
        <v>44922</v>
      </c>
      <c r="C54" s="1" t="n">
        <v>46193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56788-2024</t>
        </is>
      </c>
      <c r="B55" s="1" t="n">
        <v>45628</v>
      </c>
      <c r="C55" s="1" t="n">
        <v>46193</v>
      </c>
      <c r="D55" t="inlineStr">
        <is>
          <t>VÄSTRA GÖTALANDS LÄN</t>
        </is>
      </c>
      <c r="E55" t="inlineStr">
        <is>
          <t>VÅRGÅRDA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7962-2024</t>
        </is>
      </c>
      <c r="B56" s="1" t="n">
        <v>45350</v>
      </c>
      <c r="C56" s="1" t="n">
        <v>46193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15421-2024</t>
        </is>
      </c>
      <c r="B57" s="1" t="n">
        <v>45401</v>
      </c>
      <c r="C57" s="1" t="n">
        <v>46193</v>
      </c>
      <c r="D57" t="inlineStr">
        <is>
          <t>VÄSTRA GÖTALANDS LÄN</t>
        </is>
      </c>
      <c r="E57" t="inlineStr">
        <is>
          <t>VÅRGÅRDA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</v>
      </c>
      <c r="C58" s="1" t="n">
        <v>46193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16281-2025</t>
        </is>
      </c>
      <c r="B59" s="1" t="n">
        <v>45751</v>
      </c>
      <c r="C59" s="1" t="n">
        <v>46193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16283-2025</t>
        </is>
      </c>
      <c r="B60" s="1" t="n">
        <v>45751</v>
      </c>
      <c r="C60" s="1" t="n">
        <v>46193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50945-2023</t>
        </is>
      </c>
      <c r="B61" s="1" t="n">
        <v>45210</v>
      </c>
      <c r="C61" s="1" t="n">
        <v>46193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26526-2022</t>
        </is>
      </c>
      <c r="B62" s="1" t="n">
        <v>44739</v>
      </c>
      <c r="C62" s="1" t="n">
        <v>46193</v>
      </c>
      <c r="D62" t="inlineStr">
        <is>
          <t>VÄSTRA GÖTALANDS LÄN</t>
        </is>
      </c>
      <c r="E62" t="inlineStr">
        <is>
          <t>VÅRGÅRDA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20806-2023</t>
        </is>
      </c>
      <c r="B63" s="1" t="n">
        <v>45058</v>
      </c>
      <c r="C63" s="1" t="n">
        <v>46193</v>
      </c>
      <c r="D63" t="inlineStr">
        <is>
          <t>VÄSTRA GÖTALANDS LÄN</t>
        </is>
      </c>
      <c r="E63" t="inlineStr">
        <is>
          <t>VÅRGÅRDA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53650-2021</t>
        </is>
      </c>
      <c r="B64" s="1" t="n">
        <v>44469</v>
      </c>
      <c r="C64" s="1" t="n">
        <v>46193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49751-2023</t>
        </is>
      </c>
      <c r="B65" s="1" t="n">
        <v>45212</v>
      </c>
      <c r="C65" s="1" t="n">
        <v>46193</v>
      </c>
      <c r="D65" t="inlineStr">
        <is>
          <t>VÄSTRA GÖTALANDS LÄN</t>
        </is>
      </c>
      <c r="E65" t="inlineStr">
        <is>
          <t>VÅRGÅRDA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</v>
      </c>
      <c r="C66" s="1" t="n">
        <v>46193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19391-2024</t>
        </is>
      </c>
      <c r="B67" s="1" t="n">
        <v>45429</v>
      </c>
      <c r="C67" s="1" t="n">
        <v>46193</v>
      </c>
      <c r="D67" t="inlineStr">
        <is>
          <t>VÄSTRA GÖTALANDS LÄN</t>
        </is>
      </c>
      <c r="E67" t="inlineStr">
        <is>
          <t>VÅRGÅRDA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19394-2024</t>
        </is>
      </c>
      <c r="B68" s="1" t="n">
        <v>45429</v>
      </c>
      <c r="C68" s="1" t="n">
        <v>46193</v>
      </c>
      <c r="D68" t="inlineStr">
        <is>
          <t>VÄSTRA GÖTALANDS LÄN</t>
        </is>
      </c>
      <c r="E68" t="inlineStr">
        <is>
          <t>VÅRGÅRDA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58049-2023</t>
        </is>
      </c>
      <c r="B69" s="1" t="n">
        <v>45247</v>
      </c>
      <c r="C69" s="1" t="n">
        <v>46193</v>
      </c>
      <c r="D69" t="inlineStr">
        <is>
          <t>VÄSTRA GÖTALANDS LÄN</t>
        </is>
      </c>
      <c r="E69" t="inlineStr">
        <is>
          <t>VÅRGÅRDA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3756-2023</t>
        </is>
      </c>
      <c r="B70" s="1" t="n">
        <v>44951</v>
      </c>
      <c r="C70" s="1" t="n">
        <v>46193</v>
      </c>
      <c r="D70" t="inlineStr">
        <is>
          <t>VÄSTRA GÖTALANDS LÄN</t>
        </is>
      </c>
      <c r="E70" t="inlineStr">
        <is>
          <t>VÅRGÅRDA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11797-2024</t>
        </is>
      </c>
      <c r="B71" s="1" t="n">
        <v>45375</v>
      </c>
      <c r="C71" s="1" t="n">
        <v>46193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62124-2021</t>
        </is>
      </c>
      <c r="B72" s="1" t="n">
        <v>44501</v>
      </c>
      <c r="C72" s="1" t="n">
        <v>46193</v>
      </c>
      <c r="D72" t="inlineStr">
        <is>
          <t>VÄSTRA GÖTALANDS LÄN</t>
        </is>
      </c>
      <c r="E72" t="inlineStr">
        <is>
          <t>VÅRGÅRDA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11793-2024</t>
        </is>
      </c>
      <c r="B73" s="1" t="n">
        <v>45375</v>
      </c>
      <c r="C73" s="1" t="n">
        <v>46193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57921-2022</t>
        </is>
      </c>
      <c r="B74" s="1" t="n">
        <v>44900</v>
      </c>
      <c r="C74" s="1" t="n">
        <v>46193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</v>
      </c>
      <c r="C75" s="1" t="n">
        <v>46193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61904-2022</t>
        </is>
      </c>
      <c r="B76" s="1" t="n">
        <v>44917</v>
      </c>
      <c r="C76" s="1" t="n">
        <v>46193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Kyrkan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61907-2022</t>
        </is>
      </c>
      <c r="B77" s="1" t="n">
        <v>44917</v>
      </c>
      <c r="C77" s="1" t="n">
        <v>46193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</v>
      </c>
      <c r="C78" s="1" t="n">
        <v>46193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54097-2024</t>
        </is>
      </c>
      <c r="B79" s="1" t="n">
        <v>45616</v>
      </c>
      <c r="C79" s="1" t="n">
        <v>46193</v>
      </c>
      <c r="D79" t="inlineStr">
        <is>
          <t>VÄSTRA GÖTALANDS LÄN</t>
        </is>
      </c>
      <c r="E79" t="inlineStr">
        <is>
          <t>VÅRGÅRDA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4065-2023</t>
        </is>
      </c>
      <c r="B80" s="1" t="n">
        <v>44952</v>
      </c>
      <c r="C80" s="1" t="n">
        <v>46193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</v>
      </c>
      <c r="C81" s="1" t="n">
        <v>46193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52016-2021</t>
        </is>
      </c>
      <c r="B82" s="1" t="n">
        <v>44463</v>
      </c>
      <c r="C82" s="1" t="n">
        <v>46193</v>
      </c>
      <c r="D82" t="inlineStr">
        <is>
          <t>VÄSTRA GÖTALANDS LÄN</t>
        </is>
      </c>
      <c r="E82" t="inlineStr">
        <is>
          <t>VÅRGÅRDA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49455-2023</t>
        </is>
      </c>
      <c r="B83" s="1" t="n">
        <v>45211</v>
      </c>
      <c r="C83" s="1" t="n">
        <v>46193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19308-2025</t>
        </is>
      </c>
      <c r="B84" s="1" t="n">
        <v>45769</v>
      </c>
      <c r="C84" s="1" t="n">
        <v>46193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59381-2022</t>
        </is>
      </c>
      <c r="B85" s="1" t="n">
        <v>44905</v>
      </c>
      <c r="C85" s="1" t="n">
        <v>46193</v>
      </c>
      <c r="D85" t="inlineStr">
        <is>
          <t>VÄSTRA GÖTALANDS LÄN</t>
        </is>
      </c>
      <c r="E85" t="inlineStr">
        <is>
          <t>VÅRGÅRDA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10586-2024</t>
        </is>
      </c>
      <c r="B86" s="1" t="n">
        <v>45366</v>
      </c>
      <c r="C86" s="1" t="n">
        <v>46193</v>
      </c>
      <c r="D86" t="inlineStr">
        <is>
          <t>VÄSTRA GÖTALANDS LÄN</t>
        </is>
      </c>
      <c r="E86" t="inlineStr">
        <is>
          <t>VÅRGÅRDA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12990-2024</t>
        </is>
      </c>
      <c r="B87" s="1" t="n">
        <v>45385</v>
      </c>
      <c r="C87" s="1" t="n">
        <v>46193</v>
      </c>
      <c r="D87" t="inlineStr">
        <is>
          <t>VÄSTRA GÖTALANDS LÄN</t>
        </is>
      </c>
      <c r="E87" t="inlineStr">
        <is>
          <t>VÅRGÅRDA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24064-2022</t>
        </is>
      </c>
      <c r="B88" s="1" t="n">
        <v>44725</v>
      </c>
      <c r="C88" s="1" t="n">
        <v>46193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1262-2023</t>
        </is>
      </c>
      <c r="B89" s="1" t="n">
        <v>44936</v>
      </c>
      <c r="C89" s="1" t="n">
        <v>46193</v>
      </c>
      <c r="D89" t="inlineStr">
        <is>
          <t>VÄSTRA GÖTALANDS LÄN</t>
        </is>
      </c>
      <c r="E89" t="inlineStr">
        <is>
          <t>VÅRGÅRDA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50958-2023</t>
        </is>
      </c>
      <c r="B90" s="1" t="n">
        <v>45210</v>
      </c>
      <c r="C90" s="1" t="n">
        <v>46193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20169-2025</t>
        </is>
      </c>
      <c r="B91" s="1" t="n">
        <v>45772</v>
      </c>
      <c r="C91" s="1" t="n">
        <v>46193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50053-2024</t>
        </is>
      </c>
      <c r="B92" s="1" t="n">
        <v>45600</v>
      </c>
      <c r="C92" s="1" t="n">
        <v>46193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59225-2023</t>
        </is>
      </c>
      <c r="B93" s="1" t="n">
        <v>45253</v>
      </c>
      <c r="C93" s="1" t="n">
        <v>46193</v>
      </c>
      <c r="D93" t="inlineStr">
        <is>
          <t>VÄSTRA GÖTALANDS LÄN</t>
        </is>
      </c>
      <c r="E93" t="inlineStr">
        <is>
          <t>VÅRGÅRDA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15236-2024</t>
        </is>
      </c>
      <c r="B94" s="1" t="n">
        <v>45400</v>
      </c>
      <c r="C94" s="1" t="n">
        <v>46193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20807-2025</t>
        </is>
      </c>
      <c r="B95" s="1" t="n">
        <v>45776</v>
      </c>
      <c r="C95" s="1" t="n">
        <v>46193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30674-2023</t>
        </is>
      </c>
      <c r="B96" s="1" t="n">
        <v>45112</v>
      </c>
      <c r="C96" s="1" t="n">
        <v>46193</v>
      </c>
      <c r="D96" t="inlineStr">
        <is>
          <t>VÄSTRA GÖTALANDS LÄN</t>
        </is>
      </c>
      <c r="E96" t="inlineStr">
        <is>
          <t>VÅRGÅRDA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55240-2023</t>
        </is>
      </c>
      <c r="B97" s="1" t="n">
        <v>45237</v>
      </c>
      <c r="C97" s="1" t="n">
        <v>46193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616-2025</t>
        </is>
      </c>
      <c r="B98" s="1" t="n">
        <v>45664</v>
      </c>
      <c r="C98" s="1" t="n">
        <v>46193</v>
      </c>
      <c r="D98" t="inlineStr">
        <is>
          <t>VÄSTRA GÖTALANDS LÄN</t>
        </is>
      </c>
      <c r="E98" t="inlineStr">
        <is>
          <t>VÅRGÅRDA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48718-2023</t>
        </is>
      </c>
      <c r="B99" s="1" t="n">
        <v>45208</v>
      </c>
      <c r="C99" s="1" t="n">
        <v>46193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4548-2024</t>
        </is>
      </c>
      <c r="B100" s="1" t="n">
        <v>45327</v>
      </c>
      <c r="C100" s="1" t="n">
        <v>46193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46193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22515-2022</t>
        </is>
      </c>
      <c r="B102" s="1" t="n">
        <v>44713</v>
      </c>
      <c r="C102" s="1" t="n">
        <v>46193</v>
      </c>
      <c r="D102" t="inlineStr">
        <is>
          <t>VÄSTRA GÖTALANDS LÄN</t>
        </is>
      </c>
      <c r="E102" t="inlineStr">
        <is>
          <t>VÅRGÅRDA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22517-2022</t>
        </is>
      </c>
      <c r="B103" s="1" t="n">
        <v>44713</v>
      </c>
      <c r="C103" s="1" t="n">
        <v>46193</v>
      </c>
      <c r="D103" t="inlineStr">
        <is>
          <t>VÄSTRA GÖTALANDS LÄN</t>
        </is>
      </c>
      <c r="E103" t="inlineStr">
        <is>
          <t>VÅRGÅRDA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24611-2023</t>
        </is>
      </c>
      <c r="B104" s="1" t="n">
        <v>45084</v>
      </c>
      <c r="C104" s="1" t="n">
        <v>46193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42552-2024</t>
        </is>
      </c>
      <c r="B105" s="1" t="n">
        <v>45565</v>
      </c>
      <c r="C105" s="1" t="n">
        <v>46193</v>
      </c>
      <c r="D105" t="inlineStr">
        <is>
          <t>VÄSTRA GÖTALANDS LÄN</t>
        </is>
      </c>
      <c r="E105" t="inlineStr">
        <is>
          <t>VÅRGÅRDA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65946-2021</t>
        </is>
      </c>
      <c r="B106" s="1" t="n">
        <v>44517</v>
      </c>
      <c r="C106" s="1" t="n">
        <v>46193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38046-2022</t>
        </is>
      </c>
      <c r="B107" s="1" t="n">
        <v>44811</v>
      </c>
      <c r="C107" s="1" t="n">
        <v>46193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7047-2023</t>
        </is>
      </c>
      <c r="B108" s="1" t="n">
        <v>44968</v>
      </c>
      <c r="C108" s="1" t="n">
        <v>46193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63073-2023</t>
        </is>
      </c>
      <c r="B109" s="1" t="n">
        <v>45273</v>
      </c>
      <c r="C109" s="1" t="n">
        <v>46193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5523-2023</t>
        </is>
      </c>
      <c r="B110" s="1" t="n">
        <v>44960</v>
      </c>
      <c r="C110" s="1" t="n">
        <v>46193</v>
      </c>
      <c r="D110" t="inlineStr">
        <is>
          <t>VÄSTRA GÖTALANDS LÄN</t>
        </is>
      </c>
      <c r="E110" t="inlineStr">
        <is>
          <t>VÅRGÅRDA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14786-2024</t>
        </is>
      </c>
      <c r="B111" s="1" t="n">
        <v>45397</v>
      </c>
      <c r="C111" s="1" t="n">
        <v>46193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21875-2024</t>
        </is>
      </c>
      <c r="B112" s="1" t="n">
        <v>45443</v>
      </c>
      <c r="C112" s="1" t="n">
        <v>46193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14787-2024</t>
        </is>
      </c>
      <c r="B113" s="1" t="n">
        <v>45397</v>
      </c>
      <c r="C113" s="1" t="n">
        <v>46193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14789-2024</t>
        </is>
      </c>
      <c r="B114" s="1" t="n">
        <v>45397</v>
      </c>
      <c r="C114" s="1" t="n">
        <v>46193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21932-2024</t>
        </is>
      </c>
      <c r="B115" s="1" t="n">
        <v>45443</v>
      </c>
      <c r="C115" s="1" t="n">
        <v>46193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57860-2023</t>
        </is>
      </c>
      <c r="B116" s="1" t="n">
        <v>45247</v>
      </c>
      <c r="C116" s="1" t="n">
        <v>46193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50160-2022</t>
        </is>
      </c>
      <c r="B117" s="1" t="n">
        <v>44865</v>
      </c>
      <c r="C117" s="1" t="n">
        <v>46193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26362-2024</t>
        </is>
      </c>
      <c r="B118" s="1" t="n">
        <v>45469</v>
      </c>
      <c r="C118" s="1" t="n">
        <v>46193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45978-2022</t>
        </is>
      </c>
      <c r="B119" s="1" t="n">
        <v>44846</v>
      </c>
      <c r="C119" s="1" t="n">
        <v>46193</v>
      </c>
      <c r="D119" t="inlineStr">
        <is>
          <t>VÄSTRA GÖTALANDS LÄN</t>
        </is>
      </c>
      <c r="E119" t="inlineStr">
        <is>
          <t>VÅRGÅRDA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2345-2023</t>
        </is>
      </c>
      <c r="B120" s="1" t="n">
        <v>44942</v>
      </c>
      <c r="C120" s="1" t="n">
        <v>46193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52097-2024</t>
        </is>
      </c>
      <c r="B121" s="1" t="n">
        <v>45608</v>
      </c>
      <c r="C121" s="1" t="n">
        <v>46193</v>
      </c>
      <c r="D121" t="inlineStr">
        <is>
          <t>VÄSTRA GÖTALANDS LÄN</t>
        </is>
      </c>
      <c r="E121" t="inlineStr">
        <is>
          <t>VÅRGÅRDA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7732-2023</t>
        </is>
      </c>
      <c r="B122" s="1" t="n">
        <v>44973</v>
      </c>
      <c r="C122" s="1" t="n">
        <v>46193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62097-2022</t>
        </is>
      </c>
      <c r="B123" s="1" t="n">
        <v>44920</v>
      </c>
      <c r="C123" s="1" t="n">
        <v>46193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39000-2023</t>
        </is>
      </c>
      <c r="B124" s="1" t="n">
        <v>45163</v>
      </c>
      <c r="C124" s="1" t="n">
        <v>46193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9721-2023</t>
        </is>
      </c>
      <c r="B125" s="1" t="n">
        <v>44984</v>
      </c>
      <c r="C125" s="1" t="n">
        <v>46193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44669-2023</t>
        </is>
      </c>
      <c r="B126" s="1" t="n">
        <v>45189</v>
      </c>
      <c r="C126" s="1" t="n">
        <v>46193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39929-2025</t>
        </is>
      </c>
      <c r="B127" s="1" t="n">
        <v>45891</v>
      </c>
      <c r="C127" s="1" t="n">
        <v>46193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41625-2025</t>
        </is>
      </c>
      <c r="B128" s="1" t="n">
        <v>45901</v>
      </c>
      <c r="C128" s="1" t="n">
        <v>46193</v>
      </c>
      <c r="D128" t="inlineStr">
        <is>
          <t>VÄSTRA GÖTALANDS LÄN</t>
        </is>
      </c>
      <c r="E128" t="inlineStr">
        <is>
          <t>VÅRGÅRDA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35055-2025</t>
        </is>
      </c>
      <c r="B129" s="1" t="n">
        <v>45852</v>
      </c>
      <c r="C129" s="1" t="n">
        <v>46193</v>
      </c>
      <c r="D129" t="inlineStr">
        <is>
          <t>VÄSTRA GÖTALANDS LÄN</t>
        </is>
      </c>
      <c r="E129" t="inlineStr">
        <is>
          <t>VÅRGÅRDA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8456-2024</t>
        </is>
      </c>
      <c r="B130" s="1" t="n">
        <v>45354</v>
      </c>
      <c r="C130" s="1" t="n">
        <v>46193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</v>
      </c>
      <c r="C131" s="1" t="n">
        <v>46193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9725-2023</t>
        </is>
      </c>
      <c r="B132" s="1" t="n">
        <v>44984</v>
      </c>
      <c r="C132" s="1" t="n">
        <v>46193</v>
      </c>
      <c r="D132" t="inlineStr">
        <is>
          <t>VÄSTRA GÖTALANDS LÄN</t>
        </is>
      </c>
      <c r="E132" t="inlineStr">
        <is>
          <t>VÅRGÅRDA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43337-2025</t>
        </is>
      </c>
      <c r="B133" s="1" t="n">
        <v>45910</v>
      </c>
      <c r="C133" s="1" t="n">
        <v>46193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43314-2025</t>
        </is>
      </c>
      <c r="B134" s="1" t="n">
        <v>45910</v>
      </c>
      <c r="C134" s="1" t="n">
        <v>46193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2995-2024</t>
        </is>
      </c>
      <c r="B135" s="1" t="n">
        <v>45315</v>
      </c>
      <c r="C135" s="1" t="n">
        <v>46193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46732-2023</t>
        </is>
      </c>
      <c r="B136" s="1" t="n">
        <v>45198</v>
      </c>
      <c r="C136" s="1" t="n">
        <v>46193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11484-2025</t>
        </is>
      </c>
      <c r="B137" s="1" t="n">
        <v>45726</v>
      </c>
      <c r="C137" s="1" t="n">
        <v>46193</v>
      </c>
      <c r="D137" t="inlineStr">
        <is>
          <t>VÄSTRA GÖTALANDS LÄN</t>
        </is>
      </c>
      <c r="E137" t="inlineStr">
        <is>
          <t>VÅRGÅRDA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43214-2025</t>
        </is>
      </c>
      <c r="B138" s="1" t="n">
        <v>45910</v>
      </c>
      <c r="C138" s="1" t="n">
        <v>46193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4845-2024</t>
        </is>
      </c>
      <c r="B139" s="1" t="n">
        <v>45329</v>
      </c>
      <c r="C139" s="1" t="n">
        <v>46193</v>
      </c>
      <c r="D139" t="inlineStr">
        <is>
          <t>VÄSTRA GÖTALANDS LÄN</t>
        </is>
      </c>
      <c r="E139" t="inlineStr">
        <is>
          <t>VÅRGÅRDA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30362-2024</t>
        </is>
      </c>
      <c r="B140" s="1" t="n">
        <v>45491</v>
      </c>
      <c r="C140" s="1" t="n">
        <v>46193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</v>
      </c>
      <c r="C141" s="1" t="n">
        <v>46193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44744-2023</t>
        </is>
      </c>
      <c r="B142" s="1" t="n">
        <v>45190</v>
      </c>
      <c r="C142" s="1" t="n">
        <v>46193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46193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</v>
      </c>
      <c r="C144" s="1" t="n">
        <v>46193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</v>
      </c>
      <c r="C145" s="1" t="n">
        <v>46193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2416-2026</t>
        </is>
      </c>
      <c r="B146" s="1" t="n">
        <v>46036</v>
      </c>
      <c r="C146" s="1" t="n">
        <v>46193</v>
      </c>
      <c r="D146" t="inlineStr">
        <is>
          <t>VÄSTRA GÖTALANDS LÄN</t>
        </is>
      </c>
      <c r="E146" t="inlineStr">
        <is>
          <t>VÅRGÅRDA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</v>
      </c>
      <c r="C147" s="1" t="n">
        <v>46193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45853-2025</t>
        </is>
      </c>
      <c r="B148" s="1" t="n">
        <v>45923</v>
      </c>
      <c r="C148" s="1" t="n">
        <v>46193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21535-2025</t>
        </is>
      </c>
      <c r="B149" s="1" t="n">
        <v>45782</v>
      </c>
      <c r="C149" s="1" t="n">
        <v>46193</v>
      </c>
      <c r="D149" t="inlineStr">
        <is>
          <t>VÄSTRA GÖTALANDS LÄN</t>
        </is>
      </c>
      <c r="E149" t="inlineStr">
        <is>
          <t>VÅRGÅRDA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946-2026</t>
        </is>
      </c>
      <c r="B150" s="1" t="n">
        <v>46030</v>
      </c>
      <c r="C150" s="1" t="n">
        <v>46193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2917-2023</t>
        </is>
      </c>
      <c r="B151" s="1" t="n">
        <v>44943</v>
      </c>
      <c r="C151" s="1" t="n">
        <v>46193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</v>
      </c>
      <c r="C152" s="1" t="n">
        <v>46193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</v>
      </c>
      <c r="C153" s="1" t="n">
        <v>46193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</v>
      </c>
      <c r="C154" s="1" t="n">
        <v>46193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46833-2025</t>
        </is>
      </c>
      <c r="B155" s="1" t="n">
        <v>45927</v>
      </c>
      <c r="C155" s="1" t="n">
        <v>46193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</v>
      </c>
      <c r="C156" s="1" t="n">
        <v>46193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46108-2021</t>
        </is>
      </c>
      <c r="B157" s="1" t="n">
        <v>44442</v>
      </c>
      <c r="C157" s="1" t="n">
        <v>46193</v>
      </c>
      <c r="D157" t="inlineStr">
        <is>
          <t>VÄSTRA GÖTALANDS LÄN</t>
        </is>
      </c>
      <c r="E157" t="inlineStr">
        <is>
          <t>VÅRGÅRDA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19319-2025</t>
        </is>
      </c>
      <c r="B158" s="1" t="n">
        <v>45769</v>
      </c>
      <c r="C158" s="1" t="n">
        <v>46193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48099-2025</t>
        </is>
      </c>
      <c r="B159" s="1" t="n">
        <v>45933</v>
      </c>
      <c r="C159" s="1" t="n">
        <v>46193</v>
      </c>
      <c r="D159" t="inlineStr">
        <is>
          <t>VÄSTRA GÖTALANDS LÄN</t>
        </is>
      </c>
      <c r="E159" t="inlineStr">
        <is>
          <t>VÅRGÅRDA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48094-2025</t>
        </is>
      </c>
      <c r="B160" s="1" t="n">
        <v>45933</v>
      </c>
      <c r="C160" s="1" t="n">
        <v>46193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</v>
      </c>
      <c r="C161" s="1" t="n">
        <v>46193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</v>
      </c>
      <c r="C162" s="1" t="n">
        <v>46193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</v>
      </c>
      <c r="C163" s="1" t="n">
        <v>46193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48080-2025</t>
        </is>
      </c>
      <c r="B164" s="1" t="n">
        <v>45932</v>
      </c>
      <c r="C164" s="1" t="n">
        <v>46193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48100-2025</t>
        </is>
      </c>
      <c r="B165" s="1" t="n">
        <v>45933</v>
      </c>
      <c r="C165" s="1" t="n">
        <v>46193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20475-2023</t>
        </is>
      </c>
      <c r="B166" s="1" t="n">
        <v>45057</v>
      </c>
      <c r="C166" s="1" t="n">
        <v>46193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49431-2025</t>
        </is>
      </c>
      <c r="B167" s="1" t="n">
        <v>45938</v>
      </c>
      <c r="C167" s="1" t="n">
        <v>46193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16282-2025</t>
        </is>
      </c>
      <c r="B168" s="1" t="n">
        <v>45751</v>
      </c>
      <c r="C168" s="1" t="n">
        <v>46193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54587-2023</t>
        </is>
      </c>
      <c r="B169" s="1" t="n">
        <v>45233</v>
      </c>
      <c r="C169" s="1" t="n">
        <v>46193</v>
      </c>
      <c r="D169" t="inlineStr">
        <is>
          <t>VÄSTRA GÖTALANDS LÄN</t>
        </is>
      </c>
      <c r="E169" t="inlineStr">
        <is>
          <t>VÅRGÅRDA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49598-2025</t>
        </is>
      </c>
      <c r="B170" s="1" t="n">
        <v>45939</v>
      </c>
      <c r="C170" s="1" t="n">
        <v>46193</v>
      </c>
      <c r="D170" t="inlineStr">
        <is>
          <t>VÄSTRA GÖTALANDS LÄN</t>
        </is>
      </c>
      <c r="E170" t="inlineStr">
        <is>
          <t>VÅRGÅRDA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49855-2025</t>
        </is>
      </c>
      <c r="B171" s="1" t="n">
        <v>45940</v>
      </c>
      <c r="C171" s="1" t="n">
        <v>46193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10655-2025</t>
        </is>
      </c>
      <c r="B172" s="1" t="n">
        <v>45721</v>
      </c>
      <c r="C172" s="1" t="n">
        <v>46193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23950-2025</t>
        </is>
      </c>
      <c r="B173" s="1" t="n">
        <v>45796</v>
      </c>
      <c r="C173" s="1" t="n">
        <v>46193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46944-2021</t>
        </is>
      </c>
      <c r="B174" s="1" t="n">
        <v>44446</v>
      </c>
      <c r="C174" s="1" t="n">
        <v>46193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45309-2024</t>
        </is>
      </c>
      <c r="B175" s="1" t="n">
        <v>45576</v>
      </c>
      <c r="C175" s="1" t="n">
        <v>46193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25324-2025</t>
        </is>
      </c>
      <c r="B176" s="1" t="n">
        <v>45800</v>
      </c>
      <c r="C176" s="1" t="n">
        <v>46193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</v>
      </c>
      <c r="C177" s="1" t="n">
        <v>46193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34133-2022</t>
        </is>
      </c>
      <c r="B178" s="1" t="n">
        <v>44791</v>
      </c>
      <c r="C178" s="1" t="n">
        <v>46193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25326-2025</t>
        </is>
      </c>
      <c r="B179" s="1" t="n">
        <v>45800</v>
      </c>
      <c r="C179" s="1" t="n">
        <v>46193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25906-2025</t>
        </is>
      </c>
      <c r="B180" s="1" t="n">
        <v>45804</v>
      </c>
      <c r="C180" s="1" t="n">
        <v>46193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25909-2025</t>
        </is>
      </c>
      <c r="B181" s="1" t="n">
        <v>45804</v>
      </c>
      <c r="C181" s="1" t="n">
        <v>46193</v>
      </c>
      <c r="D181" t="inlineStr">
        <is>
          <t>VÄSTRA GÖTALANDS LÄN</t>
        </is>
      </c>
      <c r="E181" t="inlineStr">
        <is>
          <t>VÅRGÅRDA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5448-2025</t>
        </is>
      </c>
      <c r="B182" s="1" t="n">
        <v>45692</v>
      </c>
      <c r="C182" s="1" t="n">
        <v>46193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16284-2025</t>
        </is>
      </c>
      <c r="B183" s="1" t="n">
        <v>45751</v>
      </c>
      <c r="C183" s="1" t="n">
        <v>46193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8195-2024</t>
        </is>
      </c>
      <c r="B184" s="1" t="n">
        <v>45351</v>
      </c>
      <c r="C184" s="1" t="n">
        <v>46193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9863-2024</t>
        </is>
      </c>
      <c r="B185" s="1" t="n">
        <v>45363</v>
      </c>
      <c r="C185" s="1" t="n">
        <v>46193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25911-2025</t>
        </is>
      </c>
      <c r="B186" s="1" t="n">
        <v>45804</v>
      </c>
      <c r="C186" s="1" t="n">
        <v>46193</v>
      </c>
      <c r="D186" t="inlineStr">
        <is>
          <t>VÄSTRA GÖTALANDS LÄN</t>
        </is>
      </c>
      <c r="E186" t="inlineStr">
        <is>
          <t>VÅRGÅRDA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59325-2023</t>
        </is>
      </c>
      <c r="B187" s="1" t="n">
        <v>45253</v>
      </c>
      <c r="C187" s="1" t="n">
        <v>46193</v>
      </c>
      <c r="D187" t="inlineStr">
        <is>
          <t>VÄSTRA GÖTALANDS LÄN</t>
        </is>
      </c>
      <c r="E187" t="inlineStr">
        <is>
          <t>VÅRGÅRDA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54586-2023</t>
        </is>
      </c>
      <c r="B188" s="1" t="n">
        <v>45233</v>
      </c>
      <c r="C188" s="1" t="n">
        <v>46193</v>
      </c>
      <c r="D188" t="inlineStr">
        <is>
          <t>VÄSTRA GÖTALANDS LÄN</t>
        </is>
      </c>
      <c r="E188" t="inlineStr">
        <is>
          <t>VÅRGÅRDA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27249-2025</t>
        </is>
      </c>
      <c r="B189" s="1" t="n">
        <v>45812</v>
      </c>
      <c r="C189" s="1" t="n">
        <v>46193</v>
      </c>
      <c r="D189" t="inlineStr">
        <is>
          <t>VÄSTRA GÖTALANDS LÄN</t>
        </is>
      </c>
      <c r="E189" t="inlineStr">
        <is>
          <t>VÅRGÅRDA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26964-2025</t>
        </is>
      </c>
      <c r="B190" s="1" t="n">
        <v>45811</v>
      </c>
      <c r="C190" s="1" t="n">
        <v>46193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27227-2025</t>
        </is>
      </c>
      <c r="B191" s="1" t="n">
        <v>45812</v>
      </c>
      <c r="C191" s="1" t="n">
        <v>46193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27109-2025</t>
        </is>
      </c>
      <c r="B192" s="1" t="n">
        <v>45811</v>
      </c>
      <c r="C192" s="1" t="n">
        <v>46193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27110-2025</t>
        </is>
      </c>
      <c r="B193" s="1" t="n">
        <v>45811</v>
      </c>
      <c r="C193" s="1" t="n">
        <v>46193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64234-2021</t>
        </is>
      </c>
      <c r="B194" s="1" t="n">
        <v>44510</v>
      </c>
      <c r="C194" s="1" t="n">
        <v>46193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54185-2024</t>
        </is>
      </c>
      <c r="B195" s="1" t="n">
        <v>45616</v>
      </c>
      <c r="C195" s="1" t="n">
        <v>46193</v>
      </c>
      <c r="D195" t="inlineStr">
        <is>
          <t>VÄSTRA GÖTALANDS LÄN</t>
        </is>
      </c>
      <c r="E195" t="inlineStr">
        <is>
          <t>VÅRGÅRDA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11777-2024</t>
        </is>
      </c>
      <c r="B196" s="1" t="n">
        <v>45374</v>
      </c>
      <c r="C196" s="1" t="n">
        <v>46193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11792-2024</t>
        </is>
      </c>
      <c r="B197" s="1" t="n">
        <v>45375</v>
      </c>
      <c r="C197" s="1" t="n">
        <v>46193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27141-2024</t>
        </is>
      </c>
      <c r="B198" s="1" t="n">
        <v>45471</v>
      </c>
      <c r="C198" s="1" t="n">
        <v>46193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20275-2025</t>
        </is>
      </c>
      <c r="B199" s="1" t="n">
        <v>45774</v>
      </c>
      <c r="C199" s="1" t="n">
        <v>46193</v>
      </c>
      <c r="D199" t="inlineStr">
        <is>
          <t>VÄSTRA GÖTALANDS LÄN</t>
        </is>
      </c>
      <c r="E199" t="inlineStr">
        <is>
          <t>VÅRGÅRDA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55189-2025</t>
        </is>
      </c>
      <c r="B200" s="1" t="n">
        <v>45968</v>
      </c>
      <c r="C200" s="1" t="n">
        <v>46193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64386-2021</t>
        </is>
      </c>
      <c r="B201" s="1" t="n">
        <v>44511</v>
      </c>
      <c r="C201" s="1" t="n">
        <v>46193</v>
      </c>
      <c r="D201" t="inlineStr">
        <is>
          <t>VÄSTRA GÖTALANDS LÄN</t>
        </is>
      </c>
      <c r="E201" t="inlineStr">
        <is>
          <t>VÅRGÅRDA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28052-2025</t>
        </is>
      </c>
      <c r="B202" s="1" t="n">
        <v>45817</v>
      </c>
      <c r="C202" s="1" t="n">
        <v>46193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55188-2025</t>
        </is>
      </c>
      <c r="B203" s="1" t="n">
        <v>45968</v>
      </c>
      <c r="C203" s="1" t="n">
        <v>46193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30280-2023</t>
        </is>
      </c>
      <c r="B204" s="1" t="n">
        <v>45110</v>
      </c>
      <c r="C204" s="1" t="n">
        <v>46193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9086-2024</t>
        </is>
      </c>
      <c r="B205" s="1" t="n">
        <v>45357</v>
      </c>
      <c r="C205" s="1" t="n">
        <v>46193</v>
      </c>
      <c r="D205" t="inlineStr">
        <is>
          <t>VÄSTRA GÖTALANDS LÄN</t>
        </is>
      </c>
      <c r="E205" t="inlineStr">
        <is>
          <t>VÅRGÅRDA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9089-2024</t>
        </is>
      </c>
      <c r="B206" s="1" t="n">
        <v>45357</v>
      </c>
      <c r="C206" s="1" t="n">
        <v>46193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55706-2025</t>
        </is>
      </c>
      <c r="B207" s="1" t="n">
        <v>45972</v>
      </c>
      <c r="C207" s="1" t="n">
        <v>46193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55776-2025</t>
        </is>
      </c>
      <c r="B208" s="1" t="n">
        <v>45972</v>
      </c>
      <c r="C208" s="1" t="n">
        <v>46193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21232-2023</t>
        </is>
      </c>
      <c r="B209" s="1" t="n">
        <v>45062</v>
      </c>
      <c r="C209" s="1" t="n">
        <v>46193</v>
      </c>
      <c r="D209" t="inlineStr">
        <is>
          <t>VÄSTRA GÖTALANDS LÄN</t>
        </is>
      </c>
      <c r="E209" t="inlineStr">
        <is>
          <t>VÅRGÅRDA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22202-2024</t>
        </is>
      </c>
      <c r="B210" s="1" t="n">
        <v>45446</v>
      </c>
      <c r="C210" s="1" t="n">
        <v>46193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60380-2022</t>
        </is>
      </c>
      <c r="B211" s="1" t="n">
        <v>44910</v>
      </c>
      <c r="C211" s="1" t="n">
        <v>46193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30079-2025</t>
        </is>
      </c>
      <c r="B212" s="1" t="n">
        <v>45826</v>
      </c>
      <c r="C212" s="1" t="n">
        <v>46193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55992-2025</t>
        </is>
      </c>
      <c r="B213" s="1" t="n">
        <v>45973</v>
      </c>
      <c r="C213" s="1" t="n">
        <v>46193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13034-2025</t>
        </is>
      </c>
      <c r="B214" s="1" t="n">
        <v>45734</v>
      </c>
      <c r="C214" s="1" t="n">
        <v>46193</v>
      </c>
      <c r="D214" t="inlineStr">
        <is>
          <t>VÄSTRA GÖTALANDS LÄN</t>
        </is>
      </c>
      <c r="E214" t="inlineStr">
        <is>
          <t>VÅRGÅRDA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56379-2025</t>
        </is>
      </c>
      <c r="B215" s="1" t="n">
        <v>45974</v>
      </c>
      <c r="C215" s="1" t="n">
        <v>46193</v>
      </c>
      <c r="D215" t="inlineStr">
        <is>
          <t>VÄSTRA GÖTALANDS LÄN</t>
        </is>
      </c>
      <c r="E215" t="inlineStr">
        <is>
          <t>VÅRGÅRDA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56381-2025</t>
        </is>
      </c>
      <c r="B216" s="1" t="n">
        <v>45974</v>
      </c>
      <c r="C216" s="1" t="n">
        <v>46193</v>
      </c>
      <c r="D216" t="inlineStr">
        <is>
          <t>VÄSTRA GÖTALANDS LÄN</t>
        </is>
      </c>
      <c r="E216" t="inlineStr">
        <is>
          <t>VÅRGÅRDA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13122-2025</t>
        </is>
      </c>
      <c r="B217" s="1" t="n">
        <v>45734</v>
      </c>
      <c r="C217" s="1" t="n">
        <v>46193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33939-2023</t>
        </is>
      </c>
      <c r="B218" s="1" t="n">
        <v>45134</v>
      </c>
      <c r="C218" s="1" t="n">
        <v>46193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57567-2025</t>
        </is>
      </c>
      <c r="B219" s="1" t="n">
        <v>45980</v>
      </c>
      <c r="C219" s="1" t="n">
        <v>46193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9642-2025</t>
        </is>
      </c>
      <c r="B220" s="1" t="n">
        <v>45715</v>
      </c>
      <c r="C220" s="1" t="n">
        <v>46193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17951-2023</t>
        </is>
      </c>
      <c r="B221" s="1" t="n">
        <v>45040</v>
      </c>
      <c r="C221" s="1" t="n">
        <v>46193</v>
      </c>
      <c r="D221" t="inlineStr">
        <is>
          <t>VÄSTRA GÖTALANDS LÄN</t>
        </is>
      </c>
      <c r="E221" t="inlineStr">
        <is>
          <t>VÅRGÅRDA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17972-2023</t>
        </is>
      </c>
      <c r="B222" s="1" t="n">
        <v>45040</v>
      </c>
      <c r="C222" s="1" t="n">
        <v>46193</v>
      </c>
      <c r="D222" t="inlineStr">
        <is>
          <t>VÄSTRA GÖTALANDS LÄN</t>
        </is>
      </c>
      <c r="E222" t="inlineStr">
        <is>
          <t>VÅRGÅRDA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66386-2021</t>
        </is>
      </c>
      <c r="B223" s="1" t="n">
        <v>44518</v>
      </c>
      <c r="C223" s="1" t="n">
        <v>46193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58398-2025</t>
        </is>
      </c>
      <c r="B224" s="1" t="n">
        <v>45985</v>
      </c>
      <c r="C224" s="1" t="n">
        <v>46193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58444-2025</t>
        </is>
      </c>
      <c r="B225" s="1" t="n">
        <v>45985</v>
      </c>
      <c r="C225" s="1" t="n">
        <v>46193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58443-2025</t>
        </is>
      </c>
      <c r="B226" s="1" t="n">
        <v>45985</v>
      </c>
      <c r="C226" s="1" t="n">
        <v>46193</v>
      </c>
      <c r="D226" t="inlineStr">
        <is>
          <t>VÄSTRA GÖTALANDS LÄN</t>
        </is>
      </c>
      <c r="E226" t="inlineStr">
        <is>
          <t>VÅRGÅRDA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59156-2025</t>
        </is>
      </c>
      <c r="B227" s="1" t="n">
        <v>45988</v>
      </c>
      <c r="C227" s="1" t="n">
        <v>46193</v>
      </c>
      <c r="D227" t="inlineStr">
        <is>
          <t>VÄSTRA GÖTALANDS LÄN</t>
        </is>
      </c>
      <c r="E227" t="inlineStr">
        <is>
          <t>VÅRGÅRDA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59042-2025</t>
        </is>
      </c>
      <c r="B228" s="1" t="n">
        <v>45988</v>
      </c>
      <c r="C228" s="1" t="n">
        <v>46193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4550-2024</t>
        </is>
      </c>
      <c r="B229" s="1" t="n">
        <v>45327</v>
      </c>
      <c r="C229" s="1" t="n">
        <v>46193</v>
      </c>
      <c r="D229" t="inlineStr">
        <is>
          <t>VÄSTRA GÖTALANDS LÄN</t>
        </is>
      </c>
      <c r="E229" t="inlineStr">
        <is>
          <t>VÅRGÅRDA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44421-2024</t>
        </is>
      </c>
      <c r="B230" s="1" t="n">
        <v>45573</v>
      </c>
      <c r="C230" s="1" t="n">
        <v>46193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44668-2023</t>
        </is>
      </c>
      <c r="B231" s="1" t="n">
        <v>45189</v>
      </c>
      <c r="C231" s="1" t="n">
        <v>46193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59317-2025</t>
        </is>
      </c>
      <c r="B232" s="1" t="n">
        <v>45989</v>
      </c>
      <c r="C232" s="1" t="n">
        <v>46193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59309-2025</t>
        </is>
      </c>
      <c r="B233" s="1" t="n">
        <v>45989</v>
      </c>
      <c r="C233" s="1" t="n">
        <v>46193</v>
      </c>
      <c r="D233" t="inlineStr">
        <is>
          <t>VÄSTRA GÖTALANDS LÄN</t>
        </is>
      </c>
      <c r="E233" t="inlineStr">
        <is>
          <t>VÅRGÅRDA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42330-2023</t>
        </is>
      </c>
      <c r="B234" s="1" t="n">
        <v>45180</v>
      </c>
      <c r="C234" s="1" t="n">
        <v>46193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35621-2025</t>
        </is>
      </c>
      <c r="B235" s="1" t="n">
        <v>45859</v>
      </c>
      <c r="C235" s="1" t="n">
        <v>46193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2052-2026</t>
        </is>
      </c>
      <c r="B236" s="1" t="n">
        <v>46031</v>
      </c>
      <c r="C236" s="1" t="n">
        <v>46193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Övriga statliga verk och myndigheter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2051-2026</t>
        </is>
      </c>
      <c r="B237" s="1" t="n">
        <v>46031</v>
      </c>
      <c r="C237" s="1" t="n">
        <v>46193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Övriga statliga verk och myndigheter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56637-2024</t>
        </is>
      </c>
      <c r="B238" s="1" t="n">
        <v>45625</v>
      </c>
      <c r="C238" s="1" t="n">
        <v>46193</v>
      </c>
      <c r="D238" t="inlineStr">
        <is>
          <t>VÄSTRA GÖTALANDS LÄN</t>
        </is>
      </c>
      <c r="E238" t="inlineStr">
        <is>
          <t>VÅRGÅRDA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60802-2025</t>
        </is>
      </c>
      <c r="B239" s="1" t="n">
        <v>45999</v>
      </c>
      <c r="C239" s="1" t="n">
        <v>46193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60981-2025</t>
        </is>
      </c>
      <c r="B240" s="1" t="n">
        <v>45999</v>
      </c>
      <c r="C240" s="1" t="n">
        <v>46193</v>
      </c>
      <c r="D240" t="inlineStr">
        <is>
          <t>VÄSTRA GÖTALANDS LÄN</t>
        </is>
      </c>
      <c r="E240" t="inlineStr">
        <is>
          <t>VÅRGÅRDA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36639-2025</t>
        </is>
      </c>
      <c r="B241" s="1" t="n">
        <v>45870</v>
      </c>
      <c r="C241" s="1" t="n">
        <v>46193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60975-2025</t>
        </is>
      </c>
      <c r="B242" s="1" t="n">
        <v>45999</v>
      </c>
      <c r="C242" s="1" t="n">
        <v>46193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60973-2025</t>
        </is>
      </c>
      <c r="B243" s="1" t="n">
        <v>45999</v>
      </c>
      <c r="C243" s="1" t="n">
        <v>46193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61731-2025</t>
        </is>
      </c>
      <c r="B244" s="1" t="n">
        <v>46002</v>
      </c>
      <c r="C244" s="1" t="n">
        <v>46193</v>
      </c>
      <c r="D244" t="inlineStr">
        <is>
          <t>VÄSTRA GÖTALANDS LÄN</t>
        </is>
      </c>
      <c r="E244" t="inlineStr">
        <is>
          <t>VÅRGÅRDA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7734-2022</t>
        </is>
      </c>
      <c r="B245" s="1" t="n">
        <v>44608</v>
      </c>
      <c r="C245" s="1" t="n">
        <v>46193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36974-2024</t>
        </is>
      </c>
      <c r="B246" s="1" t="n">
        <v>45538</v>
      </c>
      <c r="C246" s="1" t="n">
        <v>46193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7329-2025</t>
        </is>
      </c>
      <c r="B247" s="1" t="n">
        <v>45703</v>
      </c>
      <c r="C247" s="1" t="n">
        <v>46193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7680-2025</t>
        </is>
      </c>
      <c r="B248" s="1" t="n">
        <v>45706</v>
      </c>
      <c r="C248" s="1" t="n">
        <v>46193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5663-2025</t>
        </is>
      </c>
      <c r="B249" s="1" t="n">
        <v>45693</v>
      </c>
      <c r="C249" s="1" t="n">
        <v>46193</v>
      </c>
      <c r="D249" t="inlineStr">
        <is>
          <t>VÄSTRA GÖTALANDS LÄN</t>
        </is>
      </c>
      <c r="E249" t="inlineStr">
        <is>
          <t>VÅRGÅRDA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47583-2024</t>
        </is>
      </c>
      <c r="B250" s="1" t="n">
        <v>45587</v>
      </c>
      <c r="C250" s="1" t="n">
        <v>46193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14655-2022</t>
        </is>
      </c>
      <c r="B251" s="1" t="n">
        <v>44655</v>
      </c>
      <c r="C251" s="1" t="n">
        <v>46193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1437-2026</t>
        </is>
      </c>
      <c r="B252" s="1" t="n">
        <v>46032</v>
      </c>
      <c r="C252" s="1" t="n">
        <v>46193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1427-2026</t>
        </is>
      </c>
      <c r="B253" s="1" t="n">
        <v>46031</v>
      </c>
      <c r="C253" s="1" t="n">
        <v>46193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1438-2026</t>
        </is>
      </c>
      <c r="B254" s="1" t="n">
        <v>46032</v>
      </c>
      <c r="C254" s="1" t="n">
        <v>46193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1277-2026</t>
        </is>
      </c>
      <c r="B255" s="1" t="n">
        <v>46031</v>
      </c>
      <c r="C255" s="1" t="n">
        <v>46193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55630-2025</t>
        </is>
      </c>
      <c r="B256" s="1" t="n">
        <v>45972</v>
      </c>
      <c r="C256" s="1" t="n">
        <v>46193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1513-2026</t>
        </is>
      </c>
      <c r="B257" s="1" t="n">
        <v>46034</v>
      </c>
      <c r="C257" s="1" t="n">
        <v>46193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1880-2026</t>
        </is>
      </c>
      <c r="B258" s="1" t="n">
        <v>46035</v>
      </c>
      <c r="C258" s="1" t="n">
        <v>46193</v>
      </c>
      <c r="D258" t="inlineStr">
        <is>
          <t>VÄSTRA GÖTALANDS LÄN</t>
        </is>
      </c>
      <c r="E258" t="inlineStr">
        <is>
          <t>VÅRGÅRDA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55972-2023</t>
        </is>
      </c>
      <c r="B259" s="1" t="n">
        <v>45233</v>
      </c>
      <c r="C259" s="1" t="n">
        <v>46193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2411-2026</t>
        </is>
      </c>
      <c r="B260" s="1" t="n">
        <v>46036</v>
      </c>
      <c r="C260" s="1" t="n">
        <v>46193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1860-2026</t>
        </is>
      </c>
      <c r="B261" s="1" t="n">
        <v>46035</v>
      </c>
      <c r="C261" s="1" t="n">
        <v>46193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60589-2023</t>
        </is>
      </c>
      <c r="B262" s="1" t="n">
        <v>45260</v>
      </c>
      <c r="C262" s="1" t="n">
        <v>46193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2410-2026</t>
        </is>
      </c>
      <c r="B263" s="1" t="n">
        <v>46036</v>
      </c>
      <c r="C263" s="1" t="n">
        <v>46193</v>
      </c>
      <c r="D263" t="inlineStr">
        <is>
          <t>VÄSTRA GÖTALANDS LÄN</t>
        </is>
      </c>
      <c r="E263" t="inlineStr">
        <is>
          <t>VÅRGÅRDA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3012-2026</t>
        </is>
      </c>
      <c r="B264" s="1" t="n">
        <v>46038</v>
      </c>
      <c r="C264" s="1" t="n">
        <v>46193</v>
      </c>
      <c r="D264" t="inlineStr">
        <is>
          <t>VÄSTRA GÖTALANDS LÄN</t>
        </is>
      </c>
      <c r="E264" t="inlineStr">
        <is>
          <t>VÅRGÅRDA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50307-2023</t>
        </is>
      </c>
      <c r="B265" s="1" t="n">
        <v>45209</v>
      </c>
      <c r="C265" s="1" t="n">
        <v>46193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2431-2026</t>
        </is>
      </c>
      <c r="B266" s="1" t="n">
        <v>46036</v>
      </c>
      <c r="C266" s="1" t="n">
        <v>46193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3010-2026</t>
        </is>
      </c>
      <c r="B267" s="1" t="n">
        <v>46038</v>
      </c>
      <c r="C267" s="1" t="n">
        <v>46193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2430-2026</t>
        </is>
      </c>
      <c r="B268" s="1" t="n">
        <v>46036</v>
      </c>
      <c r="C268" s="1" t="n">
        <v>46193</v>
      </c>
      <c r="D268" t="inlineStr">
        <is>
          <t>VÄSTRA GÖTALANDS LÄN</t>
        </is>
      </c>
      <c r="E268" t="inlineStr">
        <is>
          <t>VÅRGÅRDA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2432-2026</t>
        </is>
      </c>
      <c r="B269" s="1" t="n">
        <v>46036</v>
      </c>
      <c r="C269" s="1" t="n">
        <v>46193</v>
      </c>
      <c r="D269" t="inlineStr">
        <is>
          <t>VÄSTRA GÖTALANDS LÄN</t>
        </is>
      </c>
      <c r="E269" t="inlineStr">
        <is>
          <t>VÅRGÅRDA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3382-2026</t>
        </is>
      </c>
      <c r="B270" s="1" t="n">
        <v>46042</v>
      </c>
      <c r="C270" s="1" t="n">
        <v>46193</v>
      </c>
      <c r="D270" t="inlineStr">
        <is>
          <t>VÄSTRA GÖTALANDS LÄN</t>
        </is>
      </c>
      <c r="E270" t="inlineStr">
        <is>
          <t>VÅRGÅRDA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46747-2023</t>
        </is>
      </c>
      <c r="B271" s="1" t="n">
        <v>45198</v>
      </c>
      <c r="C271" s="1" t="n">
        <v>46193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46736-2023</t>
        </is>
      </c>
      <c r="B272" s="1" t="n">
        <v>45198</v>
      </c>
      <c r="C272" s="1" t="n">
        <v>46193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3701-2026</t>
        </is>
      </c>
      <c r="B273" s="1" t="n">
        <v>46043</v>
      </c>
      <c r="C273" s="1" t="n">
        <v>46193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4260-2026</t>
        </is>
      </c>
      <c r="B274" s="1" t="n">
        <v>46045</v>
      </c>
      <c r="C274" s="1" t="n">
        <v>46193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5707-2026</t>
        </is>
      </c>
      <c r="B275" s="1" t="n">
        <v>46051</v>
      </c>
      <c r="C275" s="1" t="n">
        <v>46193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5708-2026</t>
        </is>
      </c>
      <c r="B276" s="1" t="n">
        <v>46051</v>
      </c>
      <c r="C276" s="1" t="n">
        <v>46193</v>
      </c>
      <c r="D276" t="inlineStr">
        <is>
          <t>VÄSTRA GÖTALANDS LÄN</t>
        </is>
      </c>
      <c r="E276" t="inlineStr">
        <is>
          <t>VÅRGÅRDA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17201-2025</t>
        </is>
      </c>
      <c r="B277" s="1" t="n">
        <v>45756</v>
      </c>
      <c r="C277" s="1" t="n">
        <v>46193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53213-2024</t>
        </is>
      </c>
      <c r="B278" s="1" t="n">
        <v>45612</v>
      </c>
      <c r="C278" s="1" t="n">
        <v>46193</v>
      </c>
      <c r="D278" t="inlineStr">
        <is>
          <t>VÄSTRA GÖTALANDS LÄN</t>
        </is>
      </c>
      <c r="E278" t="inlineStr">
        <is>
          <t>VÅRGÅRDA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</v>
      </c>
      <c r="C279" s="1" t="n">
        <v>46193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20022-2025</t>
        </is>
      </c>
      <c r="B280" s="1" t="n">
        <v>45772</v>
      </c>
      <c r="C280" s="1" t="n">
        <v>46193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7529-2026</t>
        </is>
      </c>
      <c r="B281" s="1" t="n">
        <v>46059</v>
      </c>
      <c r="C281" s="1" t="n">
        <v>46193</v>
      </c>
      <c r="D281" t="inlineStr">
        <is>
          <t>VÄSTRA GÖTALANDS LÄN</t>
        </is>
      </c>
      <c r="E281" t="inlineStr">
        <is>
          <t>VÅRGÅRDA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7535-2026</t>
        </is>
      </c>
      <c r="B282" s="1" t="n">
        <v>46059</v>
      </c>
      <c r="C282" s="1" t="n">
        <v>46193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8372-2026</t>
        </is>
      </c>
      <c r="B283" s="1" t="n">
        <v>46064</v>
      </c>
      <c r="C283" s="1" t="n">
        <v>46193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5144-2024</t>
        </is>
      </c>
      <c r="B284" s="1" t="n">
        <v>45330</v>
      </c>
      <c r="C284" s="1" t="n">
        <v>46193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8659-2026</t>
        </is>
      </c>
      <c r="B285" s="1" t="n">
        <v>46066</v>
      </c>
      <c r="C285" s="1" t="n">
        <v>46193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9633-2024</t>
        </is>
      </c>
      <c r="B286" s="1" t="n">
        <v>45362</v>
      </c>
      <c r="C286" s="1" t="n">
        <v>46193</v>
      </c>
      <c r="D286" t="inlineStr">
        <is>
          <t>VÄSTRA GÖTALANDS LÄN</t>
        </is>
      </c>
      <c r="E286" t="inlineStr">
        <is>
          <t>VÅRGÅRDA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9305-2026</t>
        </is>
      </c>
      <c r="B287" s="1" t="n">
        <v>46070</v>
      </c>
      <c r="C287" s="1" t="n">
        <v>46193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9261-2026</t>
        </is>
      </c>
      <c r="B288" s="1" t="n">
        <v>46070</v>
      </c>
      <c r="C288" s="1" t="n">
        <v>46193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9301-2026</t>
        </is>
      </c>
      <c r="B289" s="1" t="n">
        <v>46070</v>
      </c>
      <c r="C289" s="1" t="n">
        <v>46193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</v>
      </c>
      <c r="C290" s="1" t="n">
        <v>46193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59619-2022</t>
        </is>
      </c>
      <c r="B291" s="1" t="n">
        <v>44907</v>
      </c>
      <c r="C291" s="1" t="n">
        <v>46193</v>
      </c>
      <c r="D291" t="inlineStr">
        <is>
          <t>VÄSTRA GÖTALANDS LÄN</t>
        </is>
      </c>
      <c r="E291" t="inlineStr">
        <is>
          <t>VÅRGÅRDA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16280-2025</t>
        </is>
      </c>
      <c r="B292" s="1" t="n">
        <v>45751</v>
      </c>
      <c r="C292" s="1" t="n">
        <v>46193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37653-2023</t>
        </is>
      </c>
      <c r="B293" s="1" t="n">
        <v>45159</v>
      </c>
      <c r="C293" s="1" t="n">
        <v>46193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13397-2025</t>
        </is>
      </c>
      <c r="B294" s="1" t="n">
        <v>45735</v>
      </c>
      <c r="C294" s="1" t="n">
        <v>46193</v>
      </c>
      <c r="D294" t="inlineStr">
        <is>
          <t>VÄSTRA GÖTALANDS LÄN</t>
        </is>
      </c>
      <c r="E294" t="inlineStr">
        <is>
          <t>VÅRGÅRDA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17199-2025</t>
        </is>
      </c>
      <c r="B295" s="1" t="n">
        <v>45756</v>
      </c>
      <c r="C295" s="1" t="n">
        <v>46193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1005-2024</t>
        </is>
      </c>
      <c r="B296" s="1" t="n">
        <v>45301</v>
      </c>
      <c r="C296" s="1" t="n">
        <v>46193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3057-2023</t>
        </is>
      </c>
      <c r="B297" s="1" t="n">
        <v>44946</v>
      </c>
      <c r="C297" s="1" t="n">
        <v>46193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11869-2026</t>
        </is>
      </c>
      <c r="B298" s="1" t="n">
        <v>46085</v>
      </c>
      <c r="C298" s="1" t="n">
        <v>46193</v>
      </c>
      <c r="D298" t="inlineStr">
        <is>
          <t>VÄSTRA GÖTALANDS LÄN</t>
        </is>
      </c>
      <c r="E298" t="inlineStr">
        <is>
          <t>VÅRGÅRDA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</v>
      </c>
      <c r="C299" s="1" t="n">
        <v>46193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6003-2023</t>
        </is>
      </c>
      <c r="B300" s="1" t="n">
        <v>44964</v>
      </c>
      <c r="C300" s="1" t="n">
        <v>46193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12665-2026</t>
        </is>
      </c>
      <c r="B301" s="1" t="n">
        <v>46091</v>
      </c>
      <c r="C301" s="1" t="n">
        <v>46193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13100-2026</t>
        </is>
      </c>
      <c r="B302" s="1" t="n">
        <v>46093</v>
      </c>
      <c r="C302" s="1" t="n">
        <v>46193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16169-2024</t>
        </is>
      </c>
      <c r="B303" s="1" t="n">
        <v>45406</v>
      </c>
      <c r="C303" s="1" t="n">
        <v>46193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48595-2021</t>
        </is>
      </c>
      <c r="B304" s="1" t="n">
        <v>44452</v>
      </c>
      <c r="C304" s="1" t="n">
        <v>46193</v>
      </c>
      <c r="D304" t="inlineStr">
        <is>
          <t>VÄSTRA GÖTALANDS LÄN</t>
        </is>
      </c>
      <c r="E304" t="inlineStr">
        <is>
          <t>VÅRGÅRDA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57902-2022</t>
        </is>
      </c>
      <c r="B305" s="1" t="n">
        <v>44900</v>
      </c>
      <c r="C305" s="1" t="n">
        <v>46193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14669-2026</t>
        </is>
      </c>
      <c r="B306" s="1" t="n">
        <v>46101</v>
      </c>
      <c r="C306" s="1" t="n">
        <v>46193</v>
      </c>
      <c r="D306" t="inlineStr">
        <is>
          <t>VÄSTRA GÖTALANDS LÄN</t>
        </is>
      </c>
      <c r="E306" t="inlineStr">
        <is>
          <t>VÅRGÅRDA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3619-2023</t>
        </is>
      </c>
      <c r="B307" s="1" t="n">
        <v>44950</v>
      </c>
      <c r="C307" s="1" t="n">
        <v>46193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</v>
      </c>
      <c r="C308" s="1" t="n">
        <v>46193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17057-2026</t>
        </is>
      </c>
      <c r="B309" s="1" t="n">
        <v>46114</v>
      </c>
      <c r="C309" s="1" t="n">
        <v>46193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17058-2026</t>
        </is>
      </c>
      <c r="B310" s="1" t="n">
        <v>46114</v>
      </c>
      <c r="C310" s="1" t="n">
        <v>46193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22899-2026</t>
        </is>
      </c>
      <c r="B311" s="1" t="n">
        <v>46160</v>
      </c>
      <c r="C311" s="1" t="n">
        <v>46193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17983-2026</t>
        </is>
      </c>
      <c r="B312" s="1" t="n">
        <v>46124</v>
      </c>
      <c r="C312" s="1" t="n">
        <v>46193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17984-2026</t>
        </is>
      </c>
      <c r="B313" s="1" t="n">
        <v>46124</v>
      </c>
      <c r="C313" s="1" t="n">
        <v>46193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17985-2026</t>
        </is>
      </c>
      <c r="B314" s="1" t="n">
        <v>46124</v>
      </c>
      <c r="C314" s="1" t="n">
        <v>46193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17986-2026</t>
        </is>
      </c>
      <c r="B315" s="1" t="n">
        <v>46124</v>
      </c>
      <c r="C315" s="1" t="n">
        <v>46193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17952-2026</t>
        </is>
      </c>
      <c r="B316" s="1" t="n">
        <v>46122</v>
      </c>
      <c r="C316" s="1" t="n">
        <v>46193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18127-2026</t>
        </is>
      </c>
      <c r="B317" s="1" t="n">
        <v>46125</v>
      </c>
      <c r="C317" s="1" t="n">
        <v>46193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18071-2026</t>
        </is>
      </c>
      <c r="B318" s="1" t="n">
        <v>46125</v>
      </c>
      <c r="C318" s="1" t="n">
        <v>46193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18249-2026</t>
        </is>
      </c>
      <c r="B319" s="1" t="n">
        <v>46126</v>
      </c>
      <c r="C319" s="1" t="n">
        <v>46193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</v>
      </c>
      <c r="C320" s="1" t="n">
        <v>46193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18463-2026</t>
        </is>
      </c>
      <c r="B321" s="1" t="n">
        <v>46127</v>
      </c>
      <c r="C321" s="1" t="n">
        <v>46193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18332-2026</t>
        </is>
      </c>
      <c r="B322" s="1" t="n">
        <v>46126</v>
      </c>
      <c r="C322" s="1" t="n">
        <v>46193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18423-2026</t>
        </is>
      </c>
      <c r="B323" s="1" t="n">
        <v>46126</v>
      </c>
      <c r="C323" s="1" t="n">
        <v>46193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24782-2026</t>
        </is>
      </c>
      <c r="B324" s="1" t="n">
        <v>46170</v>
      </c>
      <c r="C324" s="1" t="n">
        <v>46193</v>
      </c>
      <c r="D324" t="inlineStr">
        <is>
          <t>VÄSTRA GÖTALANDS LÄN</t>
        </is>
      </c>
      <c r="E324" t="inlineStr">
        <is>
          <t>VÅRGÅRDA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24479-2026</t>
        </is>
      </c>
      <c r="B325" s="1" t="n">
        <v>46170</v>
      </c>
      <c r="C325" s="1" t="n">
        <v>46193</v>
      </c>
      <c r="D325" t="inlineStr">
        <is>
          <t>VÄSTRA GÖTALANDS LÄN</t>
        </is>
      </c>
      <c r="E325" t="inlineStr">
        <is>
          <t>VÅRGÅRDA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24777-2026</t>
        </is>
      </c>
      <c r="B326" s="1" t="n">
        <v>46170</v>
      </c>
      <c r="C326" s="1" t="n">
        <v>46193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24760-2026</t>
        </is>
      </c>
      <c r="B327" s="1" t="n">
        <v>46170</v>
      </c>
      <c r="C327" s="1" t="n">
        <v>46193</v>
      </c>
      <c r="D327" t="inlineStr">
        <is>
          <t>VÄSTRA GÖTALANDS LÄN</t>
        </is>
      </c>
      <c r="E327" t="inlineStr">
        <is>
          <t>VÅRGÅRDA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24481-2026</t>
        </is>
      </c>
      <c r="B328" s="1" t="n">
        <v>46170</v>
      </c>
      <c r="C328" s="1" t="n">
        <v>46193</v>
      </c>
      <c r="D328" t="inlineStr">
        <is>
          <t>VÄSTRA GÖTALANDS LÄN</t>
        </is>
      </c>
      <c r="E328" t="inlineStr">
        <is>
          <t>VÅRGÅRDA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19513-2026</t>
        </is>
      </c>
      <c r="B329" s="1" t="n">
        <v>46134</v>
      </c>
      <c r="C329" s="1" t="n">
        <v>46193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19511-2026</t>
        </is>
      </c>
      <c r="B330" s="1" t="n">
        <v>46134</v>
      </c>
      <c r="C330" s="1" t="n">
        <v>46193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19293-2026</t>
        </is>
      </c>
      <c r="B331" s="1" t="n">
        <v>46133</v>
      </c>
      <c r="C331" s="1" t="n">
        <v>46193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19794-2026</t>
        </is>
      </c>
      <c r="B332" s="1" t="n">
        <v>46135</v>
      </c>
      <c r="C332" s="1" t="n">
        <v>46193</v>
      </c>
      <c r="D332" t="inlineStr">
        <is>
          <t>VÄSTRA GÖTALANDS LÄN</t>
        </is>
      </c>
      <c r="E332" t="inlineStr">
        <is>
          <t>VÅRGÅRDA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25875-2026</t>
        </is>
      </c>
      <c r="B333" s="1" t="n">
        <v>46178</v>
      </c>
      <c r="C333" s="1" t="n">
        <v>46193</v>
      </c>
      <c r="D333" t="inlineStr">
        <is>
          <t>VÄSTRA GÖTALANDS LÄN</t>
        </is>
      </c>
      <c r="E333" t="inlineStr">
        <is>
          <t>VÅRGÅRDA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41590-2025</t>
        </is>
      </c>
      <c r="B334" s="1" t="n">
        <v>45901</v>
      </c>
      <c r="C334" s="1" t="n">
        <v>46193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22386-2024</t>
        </is>
      </c>
      <c r="B335" s="1" t="n">
        <v>45446</v>
      </c>
      <c r="C335" s="1" t="n">
        <v>46193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20195-2026</t>
        </is>
      </c>
      <c r="B336" s="1" t="n">
        <v>46139</v>
      </c>
      <c r="C336" s="1" t="n">
        <v>46193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59684-2022</t>
        </is>
      </c>
      <c r="B337" s="1" t="n">
        <v>44908</v>
      </c>
      <c r="C337" s="1" t="n">
        <v>46193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61969-2022</t>
        </is>
      </c>
      <c r="B338" s="1" t="n">
        <v>44914</v>
      </c>
      <c r="C338" s="1" t="n">
        <v>46193</v>
      </c>
      <c r="D338" t="inlineStr">
        <is>
          <t>VÄSTRA GÖTALANDS LÄN</t>
        </is>
      </c>
      <c r="E338" t="inlineStr">
        <is>
          <t>VÅRGÅRDA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627-2022</t>
        </is>
      </c>
      <c r="B339" s="1" t="n">
        <v>44568</v>
      </c>
      <c r="C339" s="1" t="n">
        <v>46193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16121-2024</t>
        </is>
      </c>
      <c r="B340" s="1" t="n">
        <v>45406</v>
      </c>
      <c r="C340" s="1" t="n">
        <v>46193</v>
      </c>
      <c r="D340" t="inlineStr">
        <is>
          <t>VÄSTRA GÖTALANDS LÄN</t>
        </is>
      </c>
      <c r="E340" t="inlineStr">
        <is>
          <t>VÅRGÅRDA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58866-2025</t>
        </is>
      </c>
      <c r="B341" s="1" t="n">
        <v>45987</v>
      </c>
      <c r="C341" s="1" t="n">
        <v>46193</v>
      </c>
      <c r="D341" t="inlineStr">
        <is>
          <t>VÄSTRA GÖTALANDS LÄN</t>
        </is>
      </c>
      <c r="E341" t="inlineStr">
        <is>
          <t>VÅRGÅRDA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2026-06-20T00:43:41Z</dcterms:created>
  <dcterms:modified xmlns:dcterms="http://purl.org/dc/terms/" xmlns:xsi="http://www.w3.org/2001/XMLSchema-instance" xsi:type="dcterms:W3CDTF">2026-06-20T00:43:41Z</dcterms:modified>
</cp:coreProperties>
</file>