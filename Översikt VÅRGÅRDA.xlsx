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46231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46231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13991-2023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45008</v>
      </c>
      <c r="E6" s="1" t="n">
        <v>46231</v>
      </c>
      <c r="F6" t="inlineStr">
        <is>
          <t>VÄSTRA GÖTALANDS LÄN</t>
        </is>
      </c>
      <c r="G6" t="inlineStr">
        <is>
          <t>VÅRGÅRDA</t>
        </is>
      </c>
      <c r="I6" t="n">
        <v>0.2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Borsttåg</t>
        </is>
      </c>
      <c r="W6">
        <f>HYPERLINK("https://klasma.github.io/Logging_1442/artfynd/A 13991-2023 artfynd.xlsx", "A 13991-2023")</f>
        <v/>
      </c>
      <c r="X6">
        <f>HYPERLINK("https://klasma.github.io/Logging_1442/kartor/A 13991-2023 karta.png", "A 13991-2023")</f>
        <v/>
      </c>
      <c r="Y6">
        <f>HYPERLINK("https://klasma.github.io/Logging_1442/kartor_geotiff/A 13991-2023 georefererad karta.tif", "A 13991-2023")</f>
        <v/>
      </c>
      <c r="AA6">
        <f>HYPERLINK("https://klasma.github.io/Logging_1442/klagomål/A 13991-2023 FSC-klagomål.docx", "A 13991-2023")</f>
        <v/>
      </c>
      <c r="AB6">
        <f>HYPERLINK("https://klasma.github.io/Logging_1442/klagomålsmail/A 13991-2023 FSC-klagomål mail.docx", "A 13991-2023")</f>
        <v/>
      </c>
      <c r="AC6">
        <f>HYPERLINK("https://klasma.github.io/Logging_1442/tillsyn/A 13991-2023 tillsynsbegäran.docx", "A 13991-2023")</f>
        <v/>
      </c>
      <c r="AD6">
        <f>HYPERLINK("https://klasma.github.io/Logging_1442/tillsynsmail/A 13991-2023 tillsynsbegäran mail.docx", "A 13991-2023")</f>
        <v/>
      </c>
    </row>
    <row r="7" ht="15" customHeight="1">
      <c r="A7" t="inlineStr">
        <is>
          <t>A 7533-2026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46059</v>
      </c>
      <c r="E7" s="1" t="n">
        <v>46231</v>
      </c>
      <c r="F7" t="inlineStr">
        <is>
          <t>VÄSTRA GÖTALANDS LÄN</t>
        </is>
      </c>
      <c r="G7" t="inlineStr">
        <is>
          <t>VÅRGÅRDA</t>
        </is>
      </c>
      <c r="I7" t="n">
        <v>4.7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7533-2026 artfynd.xlsx", "A 7533-2026")</f>
        <v/>
      </c>
      <c r="X7">
        <f>HYPERLINK("https://klasma.github.io/Logging_1442/kartor/A 7533-2026 karta.png", "A 7533-2026")</f>
        <v/>
      </c>
      <c r="Y7">
        <f>HYPERLINK("https://klasma.github.io/Logging_1442/kartor_geotiff/A 7533-2026 georefererad karta.tif", "A 7533-2026")</f>
        <v/>
      </c>
      <c r="AA7">
        <f>HYPERLINK("https://klasma.github.io/Logging_1442/klagomål/A 7533-2026 FSC-klagomål.docx", "A 7533-2026")</f>
        <v/>
      </c>
      <c r="AB7">
        <f>HYPERLINK("https://klasma.github.io/Logging_1442/klagomålsmail/A 7533-2026 FSC-klagomål mail.docx", "A 7533-2026")</f>
        <v/>
      </c>
      <c r="AC7">
        <f>HYPERLINK("https://klasma.github.io/Logging_1442/tillsyn/A 7533-2026 tillsynsbegäran.docx", "A 7533-2026")</f>
        <v/>
      </c>
      <c r="AD7">
        <f>HYPERLINK("https://klasma.github.io/Logging_1442/tillsynsmail/A 7533-2026 tillsynsbegäran mail.docx", "A 7533-2026")</f>
        <v/>
      </c>
    </row>
    <row r="8" ht="15" customHeight="1">
      <c r="A8" t="inlineStr">
        <is>
          <t>A 8657-2026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46066</v>
      </c>
      <c r="E8" s="1" t="n">
        <v>46231</v>
      </c>
      <c r="F8" t="inlineStr">
        <is>
          <t>VÄSTRA GÖTALANDS LÄN</t>
        </is>
      </c>
      <c r="G8" t="inlineStr">
        <is>
          <t>VÅRGÅRDA</t>
        </is>
      </c>
      <c r="I8" t="n">
        <v>10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Blomkålssvamp</t>
        </is>
      </c>
      <c r="W8">
        <f>HYPERLINK("https://klasma.github.io/Logging_1442/artfynd/A 8657-2026 artfynd.xlsx", "A 8657-2026")</f>
        <v/>
      </c>
      <c r="X8">
        <f>HYPERLINK("https://klasma.github.io/Logging_1442/kartor/A 8657-2026 karta.png", "A 8657-2026")</f>
        <v/>
      </c>
      <c r="Y8">
        <f>HYPERLINK("https://klasma.github.io/Logging_1442/kartor_geotiff/A 8657-2026 georefererad karta.tif", "A 8657-2026")</f>
        <v/>
      </c>
      <c r="AA8">
        <f>HYPERLINK("https://klasma.github.io/Logging_1442/klagomål/A 8657-2026 FSC-klagomål.docx", "A 8657-2026")</f>
        <v/>
      </c>
      <c r="AB8">
        <f>HYPERLINK("https://klasma.github.io/Logging_1442/klagomålsmail/A 8657-2026 FSC-klagomål mail.docx", "A 8657-2026")</f>
        <v/>
      </c>
      <c r="AC8">
        <f>HYPERLINK("https://klasma.github.io/Logging_1442/tillsyn/A 8657-2026 tillsynsbegäran.docx", "A 8657-2026")</f>
        <v/>
      </c>
      <c r="AD8">
        <f>HYPERLINK("https://klasma.github.io/Logging_1442/tillsynsmail/A 8657-2026 tillsynsbegäran mail.docx", "A 8657-2026")</f>
        <v/>
      </c>
    </row>
    <row r="9" ht="15" customHeight="1">
      <c r="A9" t="inlineStr">
        <is>
          <t>A 43593-2025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45911</v>
      </c>
      <c r="E9" s="1" t="n">
        <v>46231</v>
      </c>
      <c r="F9" t="inlineStr">
        <is>
          <t>VÄSTRA GÖTALANDS LÄN</t>
        </is>
      </c>
      <c r="G9" t="inlineStr">
        <is>
          <t>VÅRGÅRDA</t>
        </is>
      </c>
      <c r="I9" t="n">
        <v>1.6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HYPERLINK("https://klasma.github.io/Logging_1442/artfynd/A 43593-2025 artfynd.xlsx", "A 43593-2025")</f>
        <v/>
      </c>
      <c r="X9">
        <f>HYPERLINK("https://klasma.github.io/Logging_1442/kartor/A 43593-2025 karta.png", "A 43593-2025")</f>
        <v/>
      </c>
      <c r="Y9">
        <f>HYPERLINK("https://klasma.github.io/Logging_1442/kartor_geotiff/A 43593-2025 georefererad karta.tif", "A 43593-2025")</f>
        <v/>
      </c>
      <c r="AA9">
        <f>HYPERLINK("https://klasma.github.io/Logging_1442/klagomål/A 43593-2025 FSC-klagomål.docx", "A 43593-2025")</f>
        <v/>
      </c>
      <c r="AB9">
        <f>HYPERLINK("https://klasma.github.io/Logging_1442/klagomålsmail/A 43593-2025 FSC-klagomål mail.docx", "A 43593-2025")</f>
        <v/>
      </c>
      <c r="AC9">
        <f>HYPERLINK("https://klasma.github.io/Logging_1442/tillsyn/A 43593-2025 tillsynsbegäran.docx", "A 43593-2025")</f>
        <v/>
      </c>
      <c r="AD9">
        <f>HYPERLINK("https://klasma.github.io/Logging_1442/tillsynsmail/A 43593-2025 tillsynsbegäran mail.docx", "A 43593-2025")</f>
        <v/>
      </c>
      <c r="AE9">
        <f>HYPERLINK("https://klasma.github.io/Logging_1442/fåglar/A 43593-2025 prioriterade fågelarter.docx", "A 43593-2025")</f>
        <v/>
      </c>
    </row>
    <row r="10" ht="15" customHeight="1">
      <c r="A10" t="inlineStr">
        <is>
          <t>A 17527-2025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45757</v>
      </c>
      <c r="E10" s="1" t="n">
        <v>46231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17527-2025 artfynd.xlsx", "A 17527-2025")</f>
        <v/>
      </c>
      <c r="X10">
        <f>HYPERLINK("https://klasma.github.io/Logging_1442/kartor/A 17527-2025 karta.png", "A 17527-2025")</f>
        <v/>
      </c>
      <c r="Y10">
        <f>HYPERLINK("https://klasma.github.io/Logging_1442/kartor_geotiff/A 17527-2025 georefererad karta.tif", "A 17527-2025")</f>
        <v/>
      </c>
      <c r="AA10">
        <f>HYPERLINK("https://klasma.github.io/Logging_1442/klagomål/A 17527-2025 FSC-klagomål.docx", "A 17527-2025")</f>
        <v/>
      </c>
      <c r="AB10">
        <f>HYPERLINK("https://klasma.github.io/Logging_1442/klagomålsmail/A 17527-2025 FSC-klagomål mail.docx", "A 17527-2025")</f>
        <v/>
      </c>
      <c r="AC10">
        <f>HYPERLINK("https://klasma.github.io/Logging_1442/tillsyn/A 17527-2025 tillsynsbegäran.docx", "A 17527-2025")</f>
        <v/>
      </c>
      <c r="AD10">
        <f>HYPERLINK("https://klasma.github.io/Logging_1442/tillsynsmail/A 17527-2025 tillsynsbegäran mail.docx", "A 17527-2025")</f>
        <v/>
      </c>
    </row>
    <row r="11" ht="15" customHeight="1">
      <c r="A11" t="inlineStr">
        <is>
          <t>A 47506-2023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46231</v>
      </c>
      <c r="F11" t="inlineStr">
        <is>
          <t>VÄSTRA GÖTALANDS LÄN</t>
        </is>
      </c>
      <c r="G11" t="inlineStr">
        <is>
          <t>VÅRGÅRDA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HYPERLINK("https://klasma.github.io/Logging_1442/artfynd/A 47506-2023 artfynd.xlsx", "A 47506-2023")</f>
        <v/>
      </c>
      <c r="X11">
        <f>HYPERLINK("https://klasma.github.io/Logging_1442/kartor/A 47506-2023 karta.png", "A 47506-2023")</f>
        <v/>
      </c>
      <c r="Y11">
        <f>HYPERLINK("https://klasma.github.io/Logging_1442/kartor_geotiff/A 47506-2023 georefererad karta.tif", "A 47506-2023")</f>
        <v/>
      </c>
      <c r="AA11">
        <f>HYPERLINK("https://klasma.github.io/Logging_1442/klagomål/A 47506-2023 FSC-klagomål.docx", "A 47506-2023")</f>
        <v/>
      </c>
      <c r="AB11">
        <f>HYPERLINK("https://klasma.github.io/Logging_1442/klagomålsmail/A 47506-2023 FSC-klagomål mail.docx", "A 47506-2023")</f>
        <v/>
      </c>
      <c r="AC11">
        <f>HYPERLINK("https://klasma.github.io/Logging_1442/tillsyn/A 47506-2023 tillsynsbegäran.docx", "A 47506-2023")</f>
        <v/>
      </c>
      <c r="AD11">
        <f>HYPERLINK("https://klasma.github.io/Logging_1442/tillsynsmail/A 47506-2023 tillsynsbegäran mail.docx", "A 47506-2023")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46231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16587-2025 artfynd.xlsx", "A 16587-2025")</f>
        <v/>
      </c>
      <c r="X12">
        <f>HYPERLINK("https://klasma.github.io/Logging_1442/kartor/A 16587-2025 karta.png", "A 16587-2025")</f>
        <v/>
      </c>
      <c r="Y12">
        <f>HYPERLINK("https://klasma.github.io/Logging_1442/kartor_geotiff/A 16587-2025 georefererad karta.tif", "A 16587-2025")</f>
        <v/>
      </c>
      <c r="AA12">
        <f>HYPERLINK("https://klasma.github.io/Logging_1442/klagomål/A 16587-2025 FSC-klagomål.docx", "A 16587-2025")</f>
        <v/>
      </c>
      <c r="AB12">
        <f>HYPERLINK("https://klasma.github.io/Logging_1442/klagomålsmail/A 16587-2025 FSC-klagomål mail.docx", "A 16587-2025")</f>
        <v/>
      </c>
      <c r="AC12">
        <f>HYPERLINK("https://klasma.github.io/Logging_1442/tillsyn/A 16587-2025 tillsynsbegäran.docx", "A 16587-2025")</f>
        <v/>
      </c>
      <c r="AD12">
        <f>HYPERLINK("https://klasma.github.io/Logging_1442/tillsynsmail/A 16587-2025 tillsynsbegäran mail.docx", "A 16587-2025")</f>
        <v/>
      </c>
    </row>
    <row r="13" ht="15" customHeight="1">
      <c r="A13" t="inlineStr">
        <is>
          <t>A 48760-2025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46231</v>
      </c>
      <c r="F13" t="inlineStr">
        <is>
          <t>VÄSTRA GÖTALANDS LÄN</t>
        </is>
      </c>
      <c r="G13" t="inlineStr">
        <is>
          <t>VÅRGÅRDA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48760-2025 artfynd.xlsx", "A 48760-2025")</f>
        <v/>
      </c>
      <c r="X13">
        <f>HYPERLINK("https://klasma.github.io/Logging_1442/kartor/A 48760-2025 karta.png", "A 48760-2025")</f>
        <v/>
      </c>
      <c r="Y13">
        <f>HYPERLINK("https://klasma.github.io/Logging_1442/kartor_geotiff/A 48760-2025 georefererad karta.tif", "A 48760-2025")</f>
        <v/>
      </c>
      <c r="AA13">
        <f>HYPERLINK("https://klasma.github.io/Logging_1442/klagomål/A 48760-2025 FSC-klagomål.docx", "A 48760-2025")</f>
        <v/>
      </c>
      <c r="AB13">
        <f>HYPERLINK("https://klasma.github.io/Logging_1442/klagomålsmail/A 48760-2025 FSC-klagomål mail.docx", "A 48760-2025")</f>
        <v/>
      </c>
      <c r="AC13">
        <f>HYPERLINK("https://klasma.github.io/Logging_1442/tillsyn/A 48760-2025 tillsynsbegäran.docx", "A 48760-2025")</f>
        <v/>
      </c>
      <c r="AD13">
        <f>HYPERLINK("https://klasma.github.io/Logging_1442/tillsynsmail/A 48760-2025 tillsynsbegäran mail.docx", "A 48760-2025")</f>
        <v/>
      </c>
    </row>
    <row r="14" ht="15" customHeight="1">
      <c r="A14" t="inlineStr">
        <is>
          <t>A 48955-2025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46231</v>
      </c>
      <c r="F14" t="inlineStr">
        <is>
          <t>VÄSTRA GÖTALANDS LÄN</t>
        </is>
      </c>
      <c r="G14" t="inlineStr">
        <is>
          <t>VÅRGÅRDA</t>
        </is>
      </c>
      <c r="I14" t="n">
        <v>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HYPERLINK("https://klasma.github.io/Logging_1442/artfynd/A 48955-2025 artfynd.xlsx", "A 48955-2025")</f>
        <v/>
      </c>
      <c r="X14">
        <f>HYPERLINK("https://klasma.github.io/Logging_1442/kartor/A 48955-2025 karta.png", "A 48955-2025")</f>
        <v/>
      </c>
      <c r="Y14">
        <f>HYPERLINK("https://klasma.github.io/Logging_1442/kartor_geotiff/A 48955-2025 georefererad karta.tif", "A 48955-2025")</f>
        <v/>
      </c>
      <c r="AA14">
        <f>HYPERLINK("https://klasma.github.io/Logging_1442/klagomål/A 48955-2025 FSC-klagomål.docx", "A 48955-2025")</f>
        <v/>
      </c>
      <c r="AB14">
        <f>HYPERLINK("https://klasma.github.io/Logging_1442/klagomålsmail/A 48955-2025 FSC-klagomål mail.docx", "A 48955-2025")</f>
        <v/>
      </c>
      <c r="AC14">
        <f>HYPERLINK("https://klasma.github.io/Logging_1442/tillsyn/A 48955-2025 tillsynsbegäran.docx", "A 48955-2025")</f>
        <v/>
      </c>
      <c r="AD14">
        <f>HYPERLINK("https://klasma.github.io/Logging_1442/tillsynsmail/A 48955-2025 tillsynsbegäran mail.docx", "A 48955-2025")</f>
        <v/>
      </c>
    </row>
    <row r="15" ht="15" customHeight="1">
      <c r="A15" t="inlineStr">
        <is>
          <t>A 59508-2025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46231</v>
      </c>
      <c r="F15" t="inlineStr">
        <is>
          <t>VÄSTRA GÖTALANDS LÄN</t>
        </is>
      </c>
      <c r="G15" t="inlineStr">
        <is>
          <t>VÅRGÅRDA</t>
        </is>
      </c>
      <c r="H15" t="inlineStr">
        <is>
          <t>Kyrkan</t>
        </is>
      </c>
      <c r="I15" t="n">
        <v>4.2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HYPERLINK("https://klasma.github.io/Logging_1442/artfynd/A 59508-2025 artfynd.xlsx", "A 59508-2025")</f>
        <v/>
      </c>
      <c r="X15">
        <f>HYPERLINK("https://klasma.github.io/Logging_1442/kartor/A 59508-2025 karta.png", "A 59508-2025")</f>
        <v/>
      </c>
      <c r="Y15">
        <f>HYPERLINK("https://klasma.github.io/Logging_1442/kartor_geotiff/A 59508-2025 georefererad karta.tif", "A 59508-2025")</f>
        <v/>
      </c>
      <c r="AA15">
        <f>HYPERLINK("https://klasma.github.io/Logging_1442/klagomål/A 59508-2025 FSC-klagomål.docx", "A 59508-2025")</f>
        <v/>
      </c>
      <c r="AB15">
        <f>HYPERLINK("https://klasma.github.io/Logging_1442/klagomålsmail/A 59508-2025 FSC-klagomål mail.docx", "A 59508-2025")</f>
        <v/>
      </c>
      <c r="AC15">
        <f>HYPERLINK("https://klasma.github.io/Logging_1442/tillsyn/A 59508-2025 tillsynsbegäran.docx", "A 59508-2025")</f>
        <v/>
      </c>
      <c r="AD15">
        <f>HYPERLINK("https://klasma.github.io/Logging_1442/tillsynsmail/A 59508-2025 tillsynsbegäran mail.docx", "A 59508-2025")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46231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46231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46231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46231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46231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46231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46231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46231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46231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46231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46231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46231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46231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46231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46231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46231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46231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46231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46231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46231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46231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46231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46231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46231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46231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46231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46231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46231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46231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46231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46231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46231</v>
      </c>
      <c r="F51" t="inlineStr">
        <is>
          <t>VÄSTRA GÖTALANDS LÄN</t>
        </is>
      </c>
      <c r="G51" t="inlineStr">
        <is>
          <t>VÅRGÅRDA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46231</v>
      </c>
      <c r="F52" t="inlineStr">
        <is>
          <t>VÄSTRA GÖTALANDS LÄN</t>
        </is>
      </c>
      <c r="G52" t="inlineStr">
        <is>
          <t>VÅRGÅRDA</t>
        </is>
      </c>
      <c r="H52" t="inlineStr">
        <is>
          <t>Kommuner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46231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46231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45058</v>
      </c>
      <c r="E55" s="1" t="n">
        <v>46231</v>
      </c>
      <c r="F55" t="inlineStr">
        <is>
          <t>VÄSTRA GÖTALANDS LÄN</t>
        </is>
      </c>
      <c r="G55" t="inlineStr">
        <is>
          <t>VÅRGÅRDA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46231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46231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46231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15236-2024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46231</v>
      </c>
      <c r="F59" t="inlineStr">
        <is>
          <t>VÄSTRA GÖTALANDS LÄN</t>
        </is>
      </c>
      <c r="G59" t="inlineStr">
        <is>
          <t>VÅRGÅRDA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45253</v>
      </c>
      <c r="E60" s="1" t="n">
        <v>46231</v>
      </c>
      <c r="F60" t="inlineStr">
        <is>
          <t>VÄSTRA GÖTALANDS LÄN</t>
        </is>
      </c>
      <c r="G60" t="inlineStr">
        <is>
          <t>VÅRGÅRDA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46231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46231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65946-2021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46231</v>
      </c>
      <c r="F63" t="inlineStr">
        <is>
          <t>VÄSTRA GÖTALANDS LÄN</t>
        </is>
      </c>
      <c r="G63" t="inlineStr">
        <is>
          <t>VÅRGÅRDA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46231</v>
      </c>
      <c r="F64" t="inlineStr">
        <is>
          <t>VÄSTRA GÖTALANDS LÄN</t>
        </is>
      </c>
      <c r="G64" t="inlineStr">
        <is>
          <t>VÅRGÅRDA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46231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45443</v>
      </c>
      <c r="E66" s="1" t="n">
        <v>46231</v>
      </c>
      <c r="F66" t="inlineStr">
        <is>
          <t>VÄSTRA GÖTALANDS LÄN</t>
        </is>
      </c>
      <c r="G66" t="inlineStr">
        <is>
          <t>VÅRGÅRDA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46231</v>
      </c>
      <c r="F67" t="inlineStr">
        <is>
          <t>VÄSTRA GÖTALANDS LÄN</t>
        </is>
      </c>
      <c r="G67" t="inlineStr">
        <is>
          <t>VÅRGÅRDA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46231</v>
      </c>
      <c r="F68" t="inlineStr">
        <is>
          <t>VÄSTRA GÖTALANDS LÄN</t>
        </is>
      </c>
      <c r="G68" t="inlineStr">
        <is>
          <t>VÅRGÅRDA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46231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46231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44920</v>
      </c>
      <c r="E71" s="1" t="n">
        <v>46231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46231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46231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25326-2025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46231</v>
      </c>
      <c r="F74" t="inlineStr">
        <is>
          <t>VÄSTRA GÖTALANDS LÄN</t>
        </is>
      </c>
      <c r="G74" t="inlineStr">
        <is>
          <t>VÅRGÅRDA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46231</v>
      </c>
      <c r="F75" t="inlineStr">
        <is>
          <t>VÄSTRA GÖTALANDS LÄN</t>
        </is>
      </c>
      <c r="G75" t="inlineStr">
        <is>
          <t>VÅRGÅRDA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46231</v>
      </c>
      <c r="F76" t="inlineStr">
        <is>
          <t>VÄSTRA GÖTALANDS LÄN</t>
        </is>
      </c>
      <c r="G76" t="inlineStr">
        <is>
          <t>VÅRGÅRDA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46231</v>
      </c>
      <c r="F77" t="inlineStr">
        <is>
          <t>VÄSTRA GÖTALANDS LÄN</t>
        </is>
      </c>
      <c r="G77" t="inlineStr">
        <is>
          <t>VÅRGÅRDA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46231</v>
      </c>
      <c r="F78" t="inlineStr">
        <is>
          <t>VÄSTRA GÖTALANDS LÄN</t>
        </is>
      </c>
      <c r="G78" t="inlineStr">
        <is>
          <t>VÅRGÅRDA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46231</v>
      </c>
      <c r="F79" t="inlineStr">
        <is>
          <t>VÄSTRA GÖTALANDS LÄN</t>
        </is>
      </c>
      <c r="G79" t="inlineStr">
        <is>
          <t>VÅRGÅRDA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46032</v>
      </c>
      <c r="E80" s="1" t="n">
        <v>46231</v>
      </c>
      <c r="F80" t="inlineStr">
        <is>
          <t>VÄSTRA GÖTALANDS LÄN</t>
        </is>
      </c>
      <c r="G80" t="inlineStr">
        <is>
          <t>VÅRGÅRDA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46231</v>
      </c>
      <c r="F81" t="inlineStr">
        <is>
          <t>VÄSTRA GÖTALANDS LÄN</t>
        </is>
      </c>
      <c r="G81" t="inlineStr">
        <is>
          <t>VÅRGÅRDA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46032</v>
      </c>
      <c r="E82" s="1" t="n">
        <v>46231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46231</v>
      </c>
      <c r="F83" t="inlineStr">
        <is>
          <t>VÄSTRA GÖTALANDS LÄN</t>
        </is>
      </c>
      <c r="G83" t="inlineStr">
        <is>
          <t>VÅRGÅRDA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45972</v>
      </c>
      <c r="E84" s="1" t="n">
        <v>46231</v>
      </c>
      <c r="F84" t="inlineStr">
        <is>
          <t>VÄSTRA GÖTALANDS LÄN</t>
        </is>
      </c>
      <c r="G84" t="inlineStr">
        <is>
          <t>VÅRGÅRDA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46231</v>
      </c>
      <c r="F85" t="inlineStr">
        <is>
          <t>VÄSTRA GÖTALANDS LÄN</t>
        </is>
      </c>
      <c r="G85" t="inlineStr">
        <is>
          <t>VÅRGÅRDA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59325-2023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45253</v>
      </c>
      <c r="E86" s="1" t="n">
        <v>46231</v>
      </c>
      <c r="F86" t="inlineStr">
        <is>
          <t>VÄSTRA GÖTALANDS LÄN</t>
        </is>
      </c>
      <c r="G86" t="inlineStr">
        <is>
          <t>VÅRGÅRDA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46231</v>
      </c>
      <c r="F87" t="inlineStr">
        <is>
          <t>VÄSTRA GÖTALANDS LÄN</t>
        </is>
      </c>
      <c r="G87" t="inlineStr">
        <is>
          <t>VÅRGÅRDA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46231</v>
      </c>
      <c r="F88" t="inlineStr">
        <is>
          <t>VÄSTRA GÖTALANDS LÄN</t>
        </is>
      </c>
      <c r="G88" t="inlineStr">
        <is>
          <t>VÅRGÅRDA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46231</v>
      </c>
      <c r="F89" t="inlineStr">
        <is>
          <t>VÄSTRA GÖTALANDS LÄN</t>
        </is>
      </c>
      <c r="G89" t="inlineStr">
        <is>
          <t>VÅRGÅRDA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46231</v>
      </c>
      <c r="F90" t="inlineStr">
        <is>
          <t>VÄSTRA GÖTALANDS LÄN</t>
        </is>
      </c>
      <c r="G90" t="inlineStr">
        <is>
          <t>VÅRGÅRDA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46231</v>
      </c>
      <c r="F91" t="inlineStr">
        <is>
          <t>VÄSTRA GÖTALANDS LÄN</t>
        </is>
      </c>
      <c r="G91" t="inlineStr">
        <is>
          <t>VÅRGÅRDA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46231</v>
      </c>
      <c r="F92" t="inlineStr">
        <is>
          <t>VÄSTRA GÖTALANDS LÄN</t>
        </is>
      </c>
      <c r="G92" t="inlineStr">
        <is>
          <t>VÅRGÅRDA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46231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46231</v>
      </c>
      <c r="F94" t="inlineStr">
        <is>
          <t>VÄSTRA GÖTALANDS LÄN</t>
        </is>
      </c>
      <c r="G94" t="inlineStr">
        <is>
          <t>VÅRGÅRDA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46231</v>
      </c>
      <c r="F95" t="inlineStr">
        <is>
          <t>VÄSTRA GÖTALANDS LÄN</t>
        </is>
      </c>
      <c r="G95" t="inlineStr">
        <is>
          <t>VÅRGÅRDA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46231</v>
      </c>
      <c r="F96" t="inlineStr">
        <is>
          <t>VÄSTRA GÖTALANDS LÄN</t>
        </is>
      </c>
      <c r="G96" t="inlineStr">
        <is>
          <t>VÅRGÅRDA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46231</v>
      </c>
      <c r="F97" t="inlineStr">
        <is>
          <t>VÄSTRA GÖTALANDS LÄN</t>
        </is>
      </c>
      <c r="G97" t="inlineStr">
        <is>
          <t>VÅRGÅRDA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46231</v>
      </c>
      <c r="F98" t="inlineStr">
        <is>
          <t>VÄSTRA GÖTALANDS LÄN</t>
        </is>
      </c>
      <c r="G98" t="inlineStr">
        <is>
          <t>VÅRGÅRDA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46231</v>
      </c>
      <c r="F99" t="inlineStr">
        <is>
          <t>VÄSTRA GÖTALANDS LÄN</t>
        </is>
      </c>
      <c r="G99" t="inlineStr">
        <is>
          <t>VÅRGÅRDA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46231</v>
      </c>
      <c r="F100" t="inlineStr">
        <is>
          <t>VÄSTRA GÖTALANDS LÄN</t>
        </is>
      </c>
      <c r="G100" t="inlineStr">
        <is>
          <t>VÅRGÅRDA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46231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46231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46231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45616</v>
      </c>
      <c r="E104" s="1" t="n">
        <v>46231</v>
      </c>
      <c r="F104" t="inlineStr">
        <is>
          <t>VÄSTRA GÖTALANDS LÄN</t>
        </is>
      </c>
      <c r="G104" t="inlineStr">
        <is>
          <t>VÅRGÅRDA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46043</v>
      </c>
      <c r="E105" s="1" t="n">
        <v>46231</v>
      </c>
      <c r="F105" t="inlineStr">
        <is>
          <t>VÄSTRA GÖTALANDS LÄN</t>
        </is>
      </c>
      <c r="G105" t="inlineStr">
        <is>
          <t>VÅRGÅRDA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46231</v>
      </c>
      <c r="F106" t="inlineStr">
        <is>
          <t>VÄSTRA GÖTALANDS LÄN</t>
        </is>
      </c>
      <c r="G106" t="inlineStr">
        <is>
          <t>VÅRGÅRDA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45774</v>
      </c>
      <c r="E107" s="1" t="n">
        <v>46231</v>
      </c>
      <c r="F107" t="inlineStr">
        <is>
          <t>VÄSTRA GÖTALANDS LÄN</t>
        </is>
      </c>
      <c r="G107" t="inlineStr">
        <is>
          <t>VÅRGÅRDA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45356</v>
      </c>
      <c r="E108" s="1" t="n">
        <v>46231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46231</v>
      </c>
      <c r="F109" t="inlineStr">
        <is>
          <t>VÄSTRA GÖTALANDS LÄN</t>
        </is>
      </c>
      <c r="G109" t="inlineStr">
        <is>
          <t>VÅRGÅRDA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46231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46231</v>
      </c>
      <c r="F111" t="inlineStr">
        <is>
          <t>VÄSTRA GÖTALANDS LÄN</t>
        </is>
      </c>
      <c r="G111" t="inlineStr">
        <is>
          <t>VÅRGÅRDA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46051</v>
      </c>
      <c r="E112" s="1" t="n">
        <v>46231</v>
      </c>
      <c r="F112" t="inlineStr">
        <is>
          <t>VÄSTRA GÖTALANDS LÄN</t>
        </is>
      </c>
      <c r="G112" t="inlineStr">
        <is>
          <t>VÅRGÅRDA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46231</v>
      </c>
      <c r="F113" t="inlineStr">
        <is>
          <t>VÄSTRA GÖTALANDS LÄN</t>
        </is>
      </c>
      <c r="G113" t="inlineStr">
        <is>
          <t>VÅRGÅRDA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45734</v>
      </c>
      <c r="E114" s="1" t="n">
        <v>46231</v>
      </c>
      <c r="F114" t="inlineStr">
        <is>
          <t>VÄSTRA GÖTALANDS LÄN</t>
        </is>
      </c>
      <c r="G114" t="inlineStr">
        <is>
          <t>VÅRGÅRDA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7962-2024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46231</v>
      </c>
      <c r="F115" t="inlineStr">
        <is>
          <t>VÄSTRA GÖTALANDS LÄN</t>
        </is>
      </c>
      <c r="G115" t="inlineStr">
        <is>
          <t>VÅRGÅRDA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46058</v>
      </c>
      <c r="E116" s="1" t="n">
        <v>46231</v>
      </c>
      <c r="F116" t="inlineStr">
        <is>
          <t>VÄSTRA GÖTALANDS LÄN</t>
        </is>
      </c>
      <c r="G116" t="inlineStr">
        <is>
          <t>VÅRGÅRDA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46231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46231</v>
      </c>
      <c r="F118" t="inlineStr">
        <is>
          <t>VÄSTRA GÖTALANDS LÄN</t>
        </is>
      </c>
      <c r="G118" t="inlineStr">
        <is>
          <t>VÅRGÅRDA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46231</v>
      </c>
      <c r="F119" t="inlineStr">
        <is>
          <t>VÄSTRA GÖTALANDS LÄN</t>
        </is>
      </c>
      <c r="G119" t="inlineStr">
        <is>
          <t>VÅRGÅRDA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46231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Sveaskog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45751</v>
      </c>
      <c r="E121" s="1" t="n">
        <v>46231</v>
      </c>
      <c r="F121" t="inlineStr">
        <is>
          <t>VÄSTRA GÖTALANDS LÄN</t>
        </is>
      </c>
      <c r="G121" t="inlineStr">
        <is>
          <t>VÅRGÅRDA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46231</v>
      </c>
      <c r="F122" t="inlineStr">
        <is>
          <t>VÄSTRA GÖTALANDS LÄN</t>
        </is>
      </c>
      <c r="G122" t="inlineStr">
        <is>
          <t>VÅRGÅRDA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46231</v>
      </c>
      <c r="F123" t="inlineStr">
        <is>
          <t>VÄSTRA GÖTALANDS LÄN</t>
        </is>
      </c>
      <c r="G123" t="inlineStr">
        <is>
          <t>VÅRGÅRDA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46231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46231</v>
      </c>
      <c r="F125" t="inlineStr">
        <is>
          <t>VÄSTRA GÖTALANDS LÄN</t>
        </is>
      </c>
      <c r="G125" t="inlineStr">
        <is>
          <t>VÅRGÅRDA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45397</v>
      </c>
      <c r="E126" s="1" t="n">
        <v>46231</v>
      </c>
      <c r="F126" t="inlineStr">
        <is>
          <t>VÄSTRA GÖTALANDS LÄN</t>
        </is>
      </c>
      <c r="G126" t="inlineStr">
        <is>
          <t>VÅRGÅRDA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9305-2026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46070</v>
      </c>
      <c r="E127" s="1" t="n">
        <v>46231</v>
      </c>
      <c r="F127" t="inlineStr">
        <is>
          <t>VÄSTRA GÖTALANDS LÄN</t>
        </is>
      </c>
      <c r="G127" t="inlineStr">
        <is>
          <t>VÅRGÅRDA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9261-2026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46070</v>
      </c>
      <c r="E128" s="1" t="n">
        <v>46231</v>
      </c>
      <c r="F128" t="inlineStr">
        <is>
          <t>VÄSTRA GÖTALANDS LÄN</t>
        </is>
      </c>
      <c r="G128" t="inlineStr">
        <is>
          <t>VÅRGÅRDA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9301-2026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46070</v>
      </c>
      <c r="E129" s="1" t="n">
        <v>46231</v>
      </c>
      <c r="F129" t="inlineStr">
        <is>
          <t>VÄSTRA GÖTALANDS LÄN</t>
        </is>
      </c>
      <c r="G129" t="inlineStr">
        <is>
          <t>VÅRGÅRDA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46231</v>
      </c>
      <c r="F130" t="inlineStr">
        <is>
          <t>VÄSTRA GÖTALANDS LÄN</t>
        </is>
      </c>
      <c r="G130" t="inlineStr">
        <is>
          <t>VÅRGÅRDA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9297-2026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46070</v>
      </c>
      <c r="E131" s="1" t="n">
        <v>46231</v>
      </c>
      <c r="F131" t="inlineStr">
        <is>
          <t>VÄSTRA GÖTALANDS LÄN</t>
        </is>
      </c>
      <c r="G131" t="inlineStr">
        <is>
          <t>VÅRGÅRDA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46231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Kyrkan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46231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Kyrkan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45573</v>
      </c>
      <c r="E134" s="1" t="n">
        <v>46231</v>
      </c>
      <c r="F134" t="inlineStr">
        <is>
          <t>VÄSTRA GÖTALANDS LÄN</t>
        </is>
      </c>
      <c r="G134" t="inlineStr">
        <is>
          <t>VÅRGÅRDA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59381-2022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44905</v>
      </c>
      <c r="E135" s="1" t="n">
        <v>46231</v>
      </c>
      <c r="F135" t="inlineStr">
        <is>
          <t>VÄSTRA GÖTALANDS LÄN</t>
        </is>
      </c>
      <c r="G135" t="inlineStr">
        <is>
          <t>VÅRGÅRDA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45859</v>
      </c>
      <c r="E136" s="1" t="n">
        <v>46231</v>
      </c>
      <c r="F136" t="inlineStr">
        <is>
          <t>VÄSTRA GÖTALANDS LÄN</t>
        </is>
      </c>
      <c r="G136" t="inlineStr">
        <is>
          <t>VÅRGÅRDA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46231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44725</v>
      </c>
      <c r="E138" s="1" t="n">
        <v>46231</v>
      </c>
      <c r="F138" t="inlineStr">
        <is>
          <t>VÄSTRA GÖTALANDS LÄN</t>
        </is>
      </c>
      <c r="G138" t="inlineStr">
        <is>
          <t>VÅRGÅRDA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46231</v>
      </c>
      <c r="F139" t="inlineStr">
        <is>
          <t>VÄSTRA GÖTALANDS LÄN</t>
        </is>
      </c>
      <c r="G139" t="inlineStr">
        <is>
          <t>VÅRGÅRDA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46231</v>
      </c>
      <c r="F140" t="inlineStr">
        <is>
          <t>VÄSTRA GÖTALANDS LÄN</t>
        </is>
      </c>
      <c r="G140" t="inlineStr">
        <is>
          <t>VÅRGÅRDA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46231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46085</v>
      </c>
      <c r="E142" s="1" t="n">
        <v>46231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46231</v>
      </c>
      <c r="F143" t="inlineStr">
        <is>
          <t>VÄSTRA GÖTALANDS LÄN</t>
        </is>
      </c>
      <c r="G143" t="inlineStr">
        <is>
          <t>VÅRGÅRDA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46086</v>
      </c>
      <c r="E144" s="1" t="n">
        <v>46231</v>
      </c>
      <c r="F144" t="inlineStr">
        <is>
          <t>VÄSTRA GÖTALANDS LÄN</t>
        </is>
      </c>
      <c r="G144" t="inlineStr">
        <is>
          <t>VÅRGÅRDA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46231</v>
      </c>
      <c r="F145" t="inlineStr">
        <is>
          <t>VÄSTRA GÖTALANDS LÄN</t>
        </is>
      </c>
      <c r="G145" t="inlineStr">
        <is>
          <t>VÅRGÅRDA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46091</v>
      </c>
      <c r="E146" s="1" t="n">
        <v>46231</v>
      </c>
      <c r="F146" t="inlineStr">
        <is>
          <t>VÄSTRA GÖTALANDS LÄN</t>
        </is>
      </c>
      <c r="G146" t="inlineStr">
        <is>
          <t>VÅRGÅRDA</t>
        </is>
      </c>
      <c r="H146" t="inlineStr">
        <is>
          <t>Sveaskog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46231</v>
      </c>
      <c r="F147" t="inlineStr">
        <is>
          <t>VÄSTRA GÖTALANDS LÄN</t>
        </is>
      </c>
      <c r="G147" t="inlineStr">
        <is>
          <t>VÅRGÅRDA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46231</v>
      </c>
      <c r="F148" t="inlineStr">
        <is>
          <t>VÄSTRA GÖTALANDS LÄN</t>
        </is>
      </c>
      <c r="G148" t="inlineStr">
        <is>
          <t>VÅRGÅRDA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46231</v>
      </c>
      <c r="F149" t="inlineStr">
        <is>
          <t>VÄSTRA GÖTALANDS LÄN</t>
        </is>
      </c>
      <c r="G149" t="inlineStr">
        <is>
          <t>VÅRGÅRDA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44713</v>
      </c>
      <c r="E150" s="1" t="n">
        <v>46231</v>
      </c>
      <c r="F150" t="inlineStr">
        <is>
          <t>VÄSTRA GÖTALANDS LÄN</t>
        </is>
      </c>
      <c r="G150" t="inlineStr">
        <is>
          <t>VÅRGÅRDA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44713</v>
      </c>
      <c r="E151" s="1" t="n">
        <v>46231</v>
      </c>
      <c r="F151" t="inlineStr">
        <is>
          <t>VÄSTRA GÖTALANDS LÄN</t>
        </is>
      </c>
      <c r="G151" t="inlineStr">
        <is>
          <t>VÅRGÅRDA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45565</v>
      </c>
      <c r="E152" s="1" t="n">
        <v>46231</v>
      </c>
      <c r="F152" t="inlineStr">
        <is>
          <t>VÄSTRA GÖTALANDS LÄN</t>
        </is>
      </c>
      <c r="G152" t="inlineStr">
        <is>
          <t>VÅRGÅRDA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46231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Kommuner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46231</v>
      </c>
      <c r="F154" t="inlineStr">
        <is>
          <t>VÄSTRA GÖTALANDS LÄN</t>
        </is>
      </c>
      <c r="G154" t="inlineStr">
        <is>
          <t>VÅRGÅRDA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44960</v>
      </c>
      <c r="E155" s="1" t="n">
        <v>46231</v>
      </c>
      <c r="F155" t="inlineStr">
        <is>
          <t>VÄSTRA GÖTALANDS LÄN</t>
        </is>
      </c>
      <c r="G155" t="inlineStr">
        <is>
          <t>VÅRGÅRDA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46231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46231</v>
      </c>
      <c r="F157" t="inlineStr">
        <is>
          <t>VÄSTRA GÖTALANDS LÄN</t>
        </is>
      </c>
      <c r="G157" t="inlineStr">
        <is>
          <t>VÅRGÅRDA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46231</v>
      </c>
      <c r="F158" t="inlineStr">
        <is>
          <t>VÄSTRA GÖTALANDS LÄN</t>
        </is>
      </c>
      <c r="G158" t="inlineStr">
        <is>
          <t>VÅRGÅRDA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46231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46231</v>
      </c>
      <c r="F160" t="inlineStr">
        <is>
          <t>VÄSTRA GÖTALANDS LÄN</t>
        </is>
      </c>
      <c r="G160" t="inlineStr">
        <is>
          <t>VÅRGÅRDA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46231</v>
      </c>
      <c r="F161" t="inlineStr">
        <is>
          <t>VÄSTRA GÖTALANDS LÄN</t>
        </is>
      </c>
      <c r="G161" t="inlineStr">
        <is>
          <t>VÅRGÅRDA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46231</v>
      </c>
      <c r="F162" t="inlineStr">
        <is>
          <t>VÄSTRA GÖTALANDS LÄN</t>
        </is>
      </c>
      <c r="G162" t="inlineStr">
        <is>
          <t>VÅRGÅRDA</t>
        </is>
      </c>
      <c r="H162" t="inlineStr">
        <is>
          <t>Sveaskog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46231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45906</v>
      </c>
      <c r="E164" s="1" t="n">
        <v>46231</v>
      </c>
      <c r="F164" t="inlineStr">
        <is>
          <t>VÄSTRA GÖTALANDS LÄN</t>
        </is>
      </c>
      <c r="G164" t="inlineStr">
        <is>
          <t>VÅRGÅRDA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46124</v>
      </c>
      <c r="E165" s="1" t="n">
        <v>46231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46124</v>
      </c>
      <c r="E166" s="1" t="n">
        <v>46231</v>
      </c>
      <c r="F166" t="inlineStr">
        <is>
          <t>VÄSTRA GÖTALANDS LÄN</t>
        </is>
      </c>
      <c r="G166" t="inlineStr">
        <is>
          <t>VÅRGÅRDA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46124</v>
      </c>
      <c r="E167" s="1" t="n">
        <v>46231</v>
      </c>
      <c r="F167" t="inlineStr">
        <is>
          <t>VÄSTRA GÖTALANDS LÄN</t>
        </is>
      </c>
      <c r="G167" t="inlineStr">
        <is>
          <t>VÅRGÅRDA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46231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46231</v>
      </c>
      <c r="F169" t="inlineStr">
        <is>
          <t>VÄSTRA GÖTALANDS LÄN</t>
        </is>
      </c>
      <c r="G169" t="inlineStr">
        <is>
          <t>VÅRGÅRDA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46126</v>
      </c>
      <c r="E170" s="1" t="n">
        <v>46231</v>
      </c>
      <c r="F170" t="inlineStr">
        <is>
          <t>VÄSTRA GÖTALANDS LÄN</t>
        </is>
      </c>
      <c r="G170" t="inlineStr">
        <is>
          <t>VÅRGÅRDA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46231</v>
      </c>
      <c r="F171" t="inlineStr">
        <is>
          <t>VÄSTRA GÖTALANDS LÄN</t>
        </is>
      </c>
      <c r="G171" t="inlineStr">
        <is>
          <t>VÅRGÅRDA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46231</v>
      </c>
      <c r="F172" t="inlineStr">
        <is>
          <t>VÄSTRA GÖTALANDS LÄN</t>
        </is>
      </c>
      <c r="G172" t="inlineStr">
        <is>
          <t>VÅRGÅRDA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46126</v>
      </c>
      <c r="E173" s="1" t="n">
        <v>46231</v>
      </c>
      <c r="F173" t="inlineStr">
        <is>
          <t>VÄSTRA GÖTALANDS LÄN</t>
        </is>
      </c>
      <c r="G173" t="inlineStr">
        <is>
          <t>VÅRGÅRDA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18423-2026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46126</v>
      </c>
      <c r="E174" s="1" t="n">
        <v>46231</v>
      </c>
      <c r="F174" t="inlineStr">
        <is>
          <t>VÄSTRA GÖTALANDS LÄN</t>
        </is>
      </c>
      <c r="G174" t="inlineStr">
        <is>
          <t>VÅRGÅRDA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46231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Allmännings- och besparingsskogar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46231</v>
      </c>
      <c r="F176" t="inlineStr">
        <is>
          <t>VÄSTRA GÖTALANDS LÄN</t>
        </is>
      </c>
      <c r="G176" t="inlineStr">
        <is>
          <t>VÅRGÅRDA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46231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Allmännings- och besparingsskogar</t>
        </is>
      </c>
      <c r="I177" t="n">
        <v>13.8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46231</v>
      </c>
      <c r="F178" t="inlineStr">
        <is>
          <t>VÄSTRA GÖTALANDS LÄN</t>
        </is>
      </c>
      <c r="G178" t="inlineStr">
        <is>
          <t>VÅRGÅRDA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46231</v>
      </c>
      <c r="F179" t="inlineStr">
        <is>
          <t>VÄSTRA GÖTALANDS LÄN</t>
        </is>
      </c>
      <c r="G179" t="inlineStr">
        <is>
          <t>VÅRGÅRDA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19293-2026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46231</v>
      </c>
      <c r="F180" t="inlineStr">
        <is>
          <t>VÄSTRA GÖTALANDS LÄN</t>
        </is>
      </c>
      <c r="G180" t="inlineStr">
        <is>
          <t>VÅRGÅRDA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46231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Kyrkan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46231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45491</v>
      </c>
      <c r="E183" s="1" t="n">
        <v>46231</v>
      </c>
      <c r="F183" t="inlineStr">
        <is>
          <t>VÄSTRA GÖTALANDS LÄN</t>
        </is>
      </c>
      <c r="G183" t="inlineStr">
        <is>
          <t>VÅRGÅRDA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45084</v>
      </c>
      <c r="E184" s="1" t="n">
        <v>46231</v>
      </c>
      <c r="F184" t="inlineStr">
        <is>
          <t>VÄSTRA GÖTALANDS LÄN</t>
        </is>
      </c>
      <c r="G184" t="inlineStr">
        <is>
          <t>VÅRGÅRDA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46135</v>
      </c>
      <c r="E185" s="1" t="n">
        <v>46231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46231</v>
      </c>
      <c r="F186" t="inlineStr">
        <is>
          <t>VÄSTRA GÖTALANDS LÄN</t>
        </is>
      </c>
      <c r="G186" t="inlineStr">
        <is>
          <t>VÅRGÅRDA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46231</v>
      </c>
      <c r="F187" t="inlineStr">
        <is>
          <t>VÄSTRA GÖTALANDS LÄN</t>
        </is>
      </c>
      <c r="G187" t="inlineStr">
        <is>
          <t>VÅRGÅRDA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45446</v>
      </c>
      <c r="E188" s="1" t="n">
        <v>46231</v>
      </c>
      <c r="F188" t="inlineStr">
        <is>
          <t>VÄSTRA GÖTALANDS LÄN</t>
        </is>
      </c>
      <c r="G188" t="inlineStr">
        <is>
          <t>VÅRGÅRDA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44943</v>
      </c>
      <c r="E189" s="1" t="n">
        <v>46231</v>
      </c>
      <c r="F189" t="inlineStr">
        <is>
          <t>VÄSTRA GÖTALANDS LÄN</t>
        </is>
      </c>
      <c r="G189" t="inlineStr">
        <is>
          <t>VÅRGÅRDA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44908</v>
      </c>
      <c r="E190" s="1" t="n">
        <v>46231</v>
      </c>
      <c r="F190" t="inlineStr">
        <is>
          <t>VÄSTRA GÖTALANDS LÄN</t>
        </is>
      </c>
      <c r="G190" t="inlineStr">
        <is>
          <t>VÅRGÅRDA</t>
        </is>
      </c>
      <c r="H190" t="inlineStr">
        <is>
          <t>Sveaskog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45920</v>
      </c>
      <c r="E191" s="1" t="n">
        <v>46231</v>
      </c>
      <c r="F191" t="inlineStr">
        <is>
          <t>VÄSTRA GÖTALANDS LÄN</t>
        </is>
      </c>
      <c r="G191" t="inlineStr">
        <is>
          <t>VÅRGÅRDA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45920</v>
      </c>
      <c r="E192" s="1" t="n">
        <v>46231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61969-2022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46231</v>
      </c>
      <c r="F193" t="inlineStr">
        <is>
          <t>VÄSTRA GÖTALANDS LÄN</t>
        </is>
      </c>
      <c r="G193" t="inlineStr">
        <is>
          <t>VÅRGÅRDA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46231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44442</v>
      </c>
      <c r="E195" s="1" t="n">
        <v>46231</v>
      </c>
      <c r="F195" t="inlineStr">
        <is>
          <t>VÄSTRA GÖTALANDS LÄN</t>
        </is>
      </c>
      <c r="G195" t="inlineStr">
        <is>
          <t>VÅRGÅRDA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46231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44568</v>
      </c>
      <c r="E197" s="1" t="n">
        <v>46231</v>
      </c>
      <c r="F197" t="inlineStr">
        <is>
          <t>VÄSTRA GÖTALANDS LÄN</t>
        </is>
      </c>
      <c r="G197" t="inlineStr">
        <is>
          <t>VÅRGÅRDA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45406</v>
      </c>
      <c r="E198" s="1" t="n">
        <v>46231</v>
      </c>
      <c r="F198" t="inlineStr">
        <is>
          <t>VÄSTRA GÖTALANDS LÄN</t>
        </is>
      </c>
      <c r="G198" t="inlineStr">
        <is>
          <t>VÅRGÅRDA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45987</v>
      </c>
      <c r="E199" s="1" t="n">
        <v>46231</v>
      </c>
      <c r="F199" t="inlineStr">
        <is>
          <t>VÄSTRA GÖTALANDS LÄN</t>
        </is>
      </c>
      <c r="G199" t="inlineStr">
        <is>
          <t>VÅRGÅRDA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45057</v>
      </c>
      <c r="E200" s="1" t="n">
        <v>46231</v>
      </c>
      <c r="F200" t="inlineStr">
        <is>
          <t>VÄSTRA GÖTALANDS LÄN</t>
        </is>
      </c>
      <c r="G200" t="inlineStr">
        <is>
          <t>VÅRGÅRDA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46231</v>
      </c>
      <c r="F201" t="inlineStr">
        <is>
          <t>VÄSTRA GÖTALANDS LÄN</t>
        </is>
      </c>
      <c r="G201" t="inlineStr">
        <is>
          <t>VÅRGÅRDA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45354</v>
      </c>
      <c r="E202" s="1" t="n">
        <v>46231</v>
      </c>
      <c r="F202" t="inlineStr">
        <is>
          <t>VÄSTRA GÖTALANDS LÄN</t>
        </is>
      </c>
      <c r="G202" t="inlineStr">
        <is>
          <t>VÅRGÅRDA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46231</v>
      </c>
      <c r="F203" t="inlineStr">
        <is>
          <t>VÄSTRA GÖTALANDS LÄN</t>
        </is>
      </c>
      <c r="G203" t="inlineStr">
        <is>
          <t>VÅRGÅRDA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46231</v>
      </c>
      <c r="F204" t="inlineStr">
        <is>
          <t>VÄSTRA GÖTALANDS LÄN</t>
        </is>
      </c>
      <c r="G204" t="inlineStr">
        <is>
          <t>VÅRGÅRDA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45751</v>
      </c>
      <c r="E205" s="1" t="n">
        <v>46231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54587-2023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45233</v>
      </c>
      <c r="E206" s="1" t="n">
        <v>46231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46231</v>
      </c>
      <c r="F207" t="inlineStr">
        <is>
          <t>VÄSTRA GÖTALANDS LÄN</t>
        </is>
      </c>
      <c r="G207" t="inlineStr">
        <is>
          <t>VÅRGÅRDA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46231</v>
      </c>
      <c r="F208" t="inlineStr">
        <is>
          <t>VÄSTRA GÖTALANDS LÄN</t>
        </is>
      </c>
      <c r="G208" t="inlineStr">
        <is>
          <t>VÅRGÅRDA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46231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46231</v>
      </c>
      <c r="F210" t="inlineStr">
        <is>
          <t>VÄSTRA GÖTALANDS LÄN</t>
        </is>
      </c>
      <c r="G210" t="inlineStr">
        <is>
          <t>VÅRGÅRDA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45927</v>
      </c>
      <c r="E211" s="1" t="n">
        <v>46231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46231</v>
      </c>
      <c r="F212" t="inlineStr">
        <is>
          <t>VÄSTRA GÖTALANDS LÄN</t>
        </is>
      </c>
      <c r="G212" t="inlineStr">
        <is>
          <t>VÅRGÅRDA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44791</v>
      </c>
      <c r="E213" s="1" t="n">
        <v>46231</v>
      </c>
      <c r="F213" t="inlineStr">
        <is>
          <t>VÄSTRA GÖTALANDS LÄN</t>
        </is>
      </c>
      <c r="G213" t="inlineStr">
        <is>
          <t>VÅRGÅRDA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45751</v>
      </c>
      <c r="E214" s="1" t="n">
        <v>46231</v>
      </c>
      <c r="F214" t="inlineStr">
        <is>
          <t>VÄSTRA GÖTALANDS LÄN</t>
        </is>
      </c>
      <c r="G214" t="inlineStr">
        <is>
          <t>VÅRGÅRDA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8195-2024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45351</v>
      </c>
      <c r="E215" s="1" t="n">
        <v>46231</v>
      </c>
      <c r="F215" t="inlineStr">
        <is>
          <t>VÄSTRA GÖTALANDS LÄN</t>
        </is>
      </c>
      <c r="G215" t="inlineStr">
        <is>
          <t>VÅRGÅRDA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46231</v>
      </c>
      <c r="F216" t="inlineStr">
        <is>
          <t>VÄSTRA GÖTALANDS LÄN</t>
        </is>
      </c>
      <c r="G216" t="inlineStr">
        <is>
          <t>VÅRGÅRDA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46231</v>
      </c>
      <c r="F217" t="inlineStr">
        <is>
          <t>VÄSTRA GÖTALANDS LÄN</t>
        </is>
      </c>
      <c r="G217" t="inlineStr">
        <is>
          <t>VÅRGÅRDA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48094-2025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46231</v>
      </c>
      <c r="F218" t="inlineStr">
        <is>
          <t>VÄSTRA GÖTALANDS LÄN</t>
        </is>
      </c>
      <c r="G218" t="inlineStr">
        <is>
          <t>VÅRGÅRDA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46231</v>
      </c>
      <c r="F219" t="inlineStr">
        <is>
          <t>VÄSTRA GÖTALANDS LÄN</t>
        </is>
      </c>
      <c r="G219" t="inlineStr">
        <is>
          <t>VÅRGÅRDA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46231</v>
      </c>
      <c r="F220" t="inlineStr">
        <is>
          <t>VÄSTRA GÖTALANDS LÄN</t>
        </is>
      </c>
      <c r="G220" t="inlineStr">
        <is>
          <t>VÅRGÅRDA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46231</v>
      </c>
      <c r="F221" t="inlineStr">
        <is>
          <t>VÄSTRA GÖTALANDS LÄN</t>
        </is>
      </c>
      <c r="G221" t="inlineStr">
        <is>
          <t>VÅRGÅRDA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46231</v>
      </c>
      <c r="F222" t="inlineStr">
        <is>
          <t>VÄSTRA GÖTALANDS LÄN</t>
        </is>
      </c>
      <c r="G222" t="inlineStr">
        <is>
          <t>VÅRGÅRDA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46231</v>
      </c>
      <c r="F223" t="inlineStr">
        <is>
          <t>VÄSTRA GÖTALANDS LÄN</t>
        </is>
      </c>
      <c r="G223" t="inlineStr">
        <is>
          <t>VÅRGÅRDA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64234-2021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44510</v>
      </c>
      <c r="E224" s="1" t="n">
        <v>46231</v>
      </c>
      <c r="F224" t="inlineStr">
        <is>
          <t>VÄSTRA GÖTALANDS LÄN</t>
        </is>
      </c>
      <c r="G224" t="inlineStr">
        <is>
          <t>VÅRGÅRDA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45374</v>
      </c>
      <c r="E225" s="1" t="n">
        <v>46231</v>
      </c>
      <c r="F225" t="inlineStr">
        <is>
          <t>VÄSTRA GÖTALANDS LÄN</t>
        </is>
      </c>
      <c r="G225" t="inlineStr">
        <is>
          <t>VÅRGÅRDA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45375</v>
      </c>
      <c r="E226" s="1" t="n">
        <v>46231</v>
      </c>
      <c r="F226" t="inlineStr">
        <is>
          <t>VÄSTRA GÖTALANDS LÄN</t>
        </is>
      </c>
      <c r="G226" t="inlineStr">
        <is>
          <t>VÅRGÅRDA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64386-2021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46231</v>
      </c>
      <c r="F227" t="inlineStr">
        <is>
          <t>VÄSTRA GÖTALANDS LÄN</t>
        </is>
      </c>
      <c r="G227" t="inlineStr">
        <is>
          <t>VÅRGÅRDA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46231</v>
      </c>
      <c r="F228" t="inlineStr">
        <is>
          <t>VÄSTRA GÖTALANDS LÄN</t>
        </is>
      </c>
      <c r="G228" t="inlineStr">
        <is>
          <t>VÅRGÅRDA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46231</v>
      </c>
      <c r="F229" t="inlineStr">
        <is>
          <t>VÄSTRA GÖTALANDS LÄN</t>
        </is>
      </c>
      <c r="G229" t="inlineStr">
        <is>
          <t>VÅRGÅRDA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46231</v>
      </c>
      <c r="F230" t="inlineStr">
        <is>
          <t>VÄSTRA GÖTALANDS LÄN</t>
        </is>
      </c>
      <c r="G230" t="inlineStr">
        <is>
          <t>VÅRGÅRDA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46231</v>
      </c>
      <c r="F231" t="inlineStr">
        <is>
          <t>VÄSTRA GÖTALANDS LÄN</t>
        </is>
      </c>
      <c r="G231" t="inlineStr">
        <is>
          <t>VÅRGÅRDA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45939</v>
      </c>
      <c r="E232" s="1" t="n">
        <v>46231</v>
      </c>
      <c r="F232" t="inlineStr">
        <is>
          <t>VÄSTRA GÖTALANDS LÄN</t>
        </is>
      </c>
      <c r="G232" t="inlineStr">
        <is>
          <t>VÅRGÅRDA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45940</v>
      </c>
      <c r="E233" s="1" t="n">
        <v>46231</v>
      </c>
      <c r="F233" t="inlineStr">
        <is>
          <t>VÄSTRA GÖTALANDS LÄN</t>
        </is>
      </c>
      <c r="G233" t="inlineStr">
        <is>
          <t>VÅRGÅRDA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46231</v>
      </c>
      <c r="F234" t="inlineStr">
        <is>
          <t>VÄSTRA GÖTALANDS LÄN</t>
        </is>
      </c>
      <c r="G234" t="inlineStr">
        <is>
          <t>VÅRGÅRDA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45446</v>
      </c>
      <c r="E235" s="1" t="n">
        <v>46231</v>
      </c>
      <c r="F235" t="inlineStr">
        <is>
          <t>VÄSTRA GÖTALANDS LÄN</t>
        </is>
      </c>
      <c r="G235" t="inlineStr">
        <is>
          <t>VÅRGÅRDA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44910</v>
      </c>
      <c r="E236" s="1" t="n">
        <v>46231</v>
      </c>
      <c r="F236" t="inlineStr">
        <is>
          <t>VÄSTRA GÖTALANDS LÄN</t>
        </is>
      </c>
      <c r="G236" t="inlineStr">
        <is>
          <t>VÅRGÅRDA</t>
        </is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46197</v>
      </c>
      <c r="E237" s="1" t="n">
        <v>46231</v>
      </c>
      <c r="F237" t="inlineStr">
        <is>
          <t>VÄSTRA GÖTALANDS LÄN</t>
        </is>
      </c>
      <c r="G237" t="inlineStr">
        <is>
          <t>VÅRGÅRDA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45134</v>
      </c>
      <c r="E238" s="1" t="n">
        <v>46231</v>
      </c>
      <c r="F238" t="inlineStr">
        <is>
          <t>VÄSTRA GÖTALANDS LÄN</t>
        </is>
      </c>
      <c r="G238" t="inlineStr">
        <is>
          <t>VÅRGÅRDA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46231</v>
      </c>
      <c r="F239" t="inlineStr">
        <is>
          <t>VÄSTRA GÖTALANDS LÄN</t>
        </is>
      </c>
      <c r="G239" t="inlineStr">
        <is>
          <t>VÅRGÅRDA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45040</v>
      </c>
      <c r="E240" s="1" t="n">
        <v>46231</v>
      </c>
      <c r="F240" t="inlineStr">
        <is>
          <t>VÄSTRA GÖTALANDS LÄN</t>
        </is>
      </c>
      <c r="G240" t="inlineStr">
        <is>
          <t>VÅRGÅRDA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45040</v>
      </c>
      <c r="E241" s="1" t="n">
        <v>46231</v>
      </c>
      <c r="F241" t="inlineStr">
        <is>
          <t>VÄSTRA GÖTALANDS LÄN</t>
        </is>
      </c>
      <c r="G241" t="inlineStr">
        <is>
          <t>VÅRGÅRDA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46231</v>
      </c>
      <c r="F242" t="inlineStr">
        <is>
          <t>VÄSTRA GÖTALANDS LÄN</t>
        </is>
      </c>
      <c r="G242" t="inlineStr">
        <is>
          <t>VÅRGÅRDA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29612-2026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46199</v>
      </c>
      <c r="E243" s="1" t="n">
        <v>46231</v>
      </c>
      <c r="F243" t="inlineStr">
        <is>
          <t>VÄSTRA GÖTALANDS LÄN</t>
        </is>
      </c>
      <c r="G243" t="inlineStr">
        <is>
          <t>VÅRGÅRDA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66386-2021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44518</v>
      </c>
      <c r="E244" s="1" t="n">
        <v>46231</v>
      </c>
      <c r="F244" t="inlineStr">
        <is>
          <t>VÄSTRA GÖTALANDS LÄN</t>
        </is>
      </c>
      <c r="G244" t="inlineStr">
        <is>
          <t>VÅRGÅRDA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45327</v>
      </c>
      <c r="E245" s="1" t="n">
        <v>46231</v>
      </c>
      <c r="F245" t="inlineStr">
        <is>
          <t>VÄSTRA GÖTALANDS LÄN</t>
        </is>
      </c>
      <c r="G245" t="inlineStr">
        <is>
          <t>VÅRGÅRDA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46231</v>
      </c>
      <c r="F246" t="inlineStr">
        <is>
          <t>VÄSTRA GÖTALANDS LÄN</t>
        </is>
      </c>
      <c r="G246" t="inlineStr">
        <is>
          <t>VÅRGÅRDA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29926-2026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46205</v>
      </c>
      <c r="E247" s="1" t="n">
        <v>46231</v>
      </c>
      <c r="F247" t="inlineStr">
        <is>
          <t>VÄSTRA GÖTALANDS LÄN</t>
        </is>
      </c>
      <c r="G247" t="inlineStr">
        <is>
          <t>VÅRGÅRDA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45180</v>
      </c>
      <c r="E248" s="1" t="n">
        <v>46231</v>
      </c>
      <c r="F248" t="inlineStr">
        <is>
          <t>VÄSTRA GÖTALANDS LÄN</t>
        </is>
      </c>
      <c r="G248" t="inlineStr">
        <is>
          <t>VÅRGÅRDA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46205</v>
      </c>
      <c r="E249" s="1" t="n">
        <v>46231</v>
      </c>
      <c r="F249" t="inlineStr">
        <is>
          <t>VÄSTRA GÖTALANDS LÄN</t>
        </is>
      </c>
      <c r="G249" t="inlineStr">
        <is>
          <t>VÅRGÅRDA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44608</v>
      </c>
      <c r="E250" s="1" t="n">
        <v>46231</v>
      </c>
      <c r="F250" t="inlineStr">
        <is>
          <t>VÄSTRA GÖTALANDS LÄN</t>
        </is>
      </c>
      <c r="G250" t="inlineStr">
        <is>
          <t>VÅRGÅRDA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46211</v>
      </c>
      <c r="E251" s="1" t="n">
        <v>46231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46231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46231</v>
      </c>
      <c r="F253" t="inlineStr">
        <is>
          <t>VÄSTRA GÖTALANDS LÄN</t>
        </is>
      </c>
      <c r="G253" t="inlineStr">
        <is>
          <t>VÅRGÅRDA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46231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46231</v>
      </c>
      <c r="F255" t="inlineStr">
        <is>
          <t>VÄSTRA GÖTALANDS LÄN</t>
        </is>
      </c>
      <c r="G255" t="inlineStr">
        <is>
          <t>VÅRGÅRDA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46231</v>
      </c>
      <c r="F256" t="inlineStr">
        <is>
          <t>VÄSTRA GÖTALANDS LÄN</t>
        </is>
      </c>
      <c r="G256" t="inlineStr">
        <is>
          <t>VÅRGÅRDA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46231</v>
      </c>
      <c r="F257" t="inlineStr">
        <is>
          <t>VÄSTRA GÖTALANDS LÄN</t>
        </is>
      </c>
      <c r="G257" t="inlineStr">
        <is>
          <t>VÅRGÅRDA</t>
        </is>
      </c>
      <c r="H257" t="inlineStr">
        <is>
          <t>Kyrkan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55189-2025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46231</v>
      </c>
      <c r="F258" t="inlineStr">
        <is>
          <t>VÄSTRA GÖTALANDS LÄN</t>
        </is>
      </c>
      <c r="G258" t="inlineStr">
        <is>
          <t>VÅRGÅRDA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45968</v>
      </c>
      <c r="E259" s="1" t="n">
        <v>46231</v>
      </c>
      <c r="F259" t="inlineStr">
        <is>
          <t>VÄSTRA GÖTALANDS LÄN</t>
        </is>
      </c>
      <c r="G259" t="inlineStr">
        <is>
          <t>VÅRGÅRDA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46231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46231</v>
      </c>
      <c r="F261" t="inlineStr">
        <is>
          <t>VÄSTRA GÖTALANDS LÄN</t>
        </is>
      </c>
      <c r="G261" t="inlineStr">
        <is>
          <t>VÅRGÅRDA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46231</v>
      </c>
      <c r="F262" t="inlineStr">
        <is>
          <t>VÄSTRA GÖTALANDS LÄN</t>
        </is>
      </c>
      <c r="G262" t="inlineStr">
        <is>
          <t>VÅRGÅRDA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46231</v>
      </c>
      <c r="F263" t="inlineStr">
        <is>
          <t>VÄSTRA GÖTALANDS LÄN</t>
        </is>
      </c>
      <c r="G263" t="inlineStr">
        <is>
          <t>VÅRGÅRDA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46231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46231</v>
      </c>
      <c r="F265" t="inlineStr">
        <is>
          <t>VÄSTRA GÖTALANDS LÄN</t>
        </is>
      </c>
      <c r="G265" t="inlineStr">
        <is>
          <t>VÅRGÅRDA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46231</v>
      </c>
      <c r="F266" t="inlineStr">
        <is>
          <t>VÄSTRA GÖTALANDS LÄN</t>
        </is>
      </c>
      <c r="G266" t="inlineStr">
        <is>
          <t>VÅRGÅRDA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46231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46231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46747-2023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45198</v>
      </c>
      <c r="E269" s="1" t="n">
        <v>46231</v>
      </c>
      <c r="F269" t="inlineStr">
        <is>
          <t>VÄSTRA GÖTALANDS LÄN</t>
        </is>
      </c>
      <c r="G269" t="inlineStr">
        <is>
          <t>VÅRGÅRDA</t>
        </is>
      </c>
      <c r="H269" t="inlineStr">
        <is>
          <t>Kyrkan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46231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Kyrkan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45980</v>
      </c>
      <c r="E271" s="1" t="n">
        <v>46231</v>
      </c>
      <c r="F271" t="inlineStr">
        <is>
          <t>VÄSTRA GÖTALANDS LÄN</t>
        </is>
      </c>
      <c r="G271" t="inlineStr">
        <is>
          <t>VÅRGÅRDA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46231</v>
      </c>
      <c r="F272" t="inlineStr">
        <is>
          <t>VÄSTRA GÖTALANDS LÄN</t>
        </is>
      </c>
      <c r="G272" t="inlineStr">
        <is>
          <t>VÅRGÅRDA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46231</v>
      </c>
      <c r="F273" t="inlineStr">
        <is>
          <t>VÄSTRA GÖTALANDS LÄN</t>
        </is>
      </c>
      <c r="G273" t="inlineStr">
        <is>
          <t>VÅRGÅRDA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46231</v>
      </c>
      <c r="F274" t="inlineStr">
        <is>
          <t>VÄSTRA GÖTALANDS LÄN</t>
        </is>
      </c>
      <c r="G274" t="inlineStr">
        <is>
          <t>VÅRGÅRDA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45988</v>
      </c>
      <c r="E275" s="1" t="n">
        <v>46231</v>
      </c>
      <c r="F275" t="inlineStr">
        <is>
          <t>VÄSTRA GÖTALANDS LÄN</t>
        </is>
      </c>
      <c r="G275" t="inlineStr">
        <is>
          <t>VÅRGÅRDA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45988</v>
      </c>
      <c r="E276" s="1" t="n">
        <v>46231</v>
      </c>
      <c r="F276" t="inlineStr">
        <is>
          <t>VÄSTRA GÖTALANDS LÄN</t>
        </is>
      </c>
      <c r="G276" t="inlineStr">
        <is>
          <t>VÅRGÅRDA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46231</v>
      </c>
      <c r="F277" t="inlineStr">
        <is>
          <t>VÄSTRA GÖTALANDS LÄN</t>
        </is>
      </c>
      <c r="G277" t="inlineStr">
        <is>
          <t>VÅRGÅRDA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46231</v>
      </c>
      <c r="F278" t="inlineStr">
        <is>
          <t>VÄSTRA GÖTALANDS LÄN</t>
        </is>
      </c>
      <c r="G278" t="inlineStr">
        <is>
          <t>VÅRGÅRDA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45756</v>
      </c>
      <c r="E279" s="1" t="n">
        <v>46231</v>
      </c>
      <c r="F279" t="inlineStr">
        <is>
          <t>VÄSTRA GÖTALANDS LÄN</t>
        </is>
      </c>
      <c r="G279" t="inlineStr">
        <is>
          <t>VÅRGÅRDA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46231</v>
      </c>
      <c r="F280" t="inlineStr">
        <is>
          <t>VÄSTRA GÖTALANDS LÄN</t>
        </is>
      </c>
      <c r="G280" t="inlineStr">
        <is>
          <t>VÅRGÅRDA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46231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Övriga statliga verk och myndigheter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46231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Övriga statliga verk och myndigheter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45772</v>
      </c>
      <c r="E283" s="1" t="n">
        <v>46231</v>
      </c>
      <c r="F283" t="inlineStr">
        <is>
          <t>VÄSTRA GÖTALANDS LÄN</t>
        </is>
      </c>
      <c r="G283" t="inlineStr">
        <is>
          <t>VÅRGÅRDA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46231</v>
      </c>
      <c r="F284" t="inlineStr">
        <is>
          <t>VÄSTRA GÖTALANDS LÄN</t>
        </is>
      </c>
      <c r="G284" t="inlineStr">
        <is>
          <t>VÅRGÅRDA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46231</v>
      </c>
      <c r="F285" t="inlineStr">
        <is>
          <t>VÄSTRA GÖTALANDS LÄN</t>
        </is>
      </c>
      <c r="G285" t="inlineStr">
        <is>
          <t>VÅRGÅRDA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46231</v>
      </c>
      <c r="F286" t="inlineStr">
        <is>
          <t>VÄSTRA GÖTALANDS LÄN</t>
        </is>
      </c>
      <c r="G286" t="inlineStr">
        <is>
          <t>VÅRGÅRDA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46231</v>
      </c>
      <c r="F287" t="inlineStr">
        <is>
          <t>VÄSTRA GÖTALANDS LÄN</t>
        </is>
      </c>
      <c r="G287" t="inlineStr">
        <is>
          <t>VÅRGÅRDA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45362</v>
      </c>
      <c r="E288" s="1" t="n">
        <v>46231</v>
      </c>
      <c r="F288" t="inlineStr">
        <is>
          <t>VÄSTRA GÖTALANDS LÄN</t>
        </is>
      </c>
      <c r="G288" t="inlineStr">
        <is>
          <t>VÅRGÅRDA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59619-2022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44907</v>
      </c>
      <c r="E289" s="1" t="n">
        <v>46231</v>
      </c>
      <c r="F289" t="inlineStr">
        <is>
          <t>VÄSTRA GÖTALANDS LÄN</t>
        </is>
      </c>
      <c r="G289" t="inlineStr">
        <is>
          <t>VÅRGÅRDA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46231</v>
      </c>
      <c r="F290" t="inlineStr">
        <is>
          <t>VÄSTRA GÖTALANDS LÄN</t>
        </is>
      </c>
      <c r="G290" t="inlineStr">
        <is>
          <t>VÅRGÅRDA</t>
        </is>
      </c>
      <c r="H290" t="inlineStr">
        <is>
          <t>Sveaskog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46231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46231</v>
      </c>
      <c r="F292" t="inlineStr">
        <is>
          <t>VÄSTRA GÖTALANDS LÄN</t>
        </is>
      </c>
      <c r="G292" t="inlineStr">
        <is>
          <t>VÅRGÅRDA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45756</v>
      </c>
      <c r="E293" s="1" t="n">
        <v>46231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1005-2024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45301</v>
      </c>
      <c r="E294" s="1" t="n">
        <v>46231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45703</v>
      </c>
      <c r="E295" s="1" t="n">
        <v>46231</v>
      </c>
      <c r="F295" t="inlineStr">
        <is>
          <t>VÄSTRA GÖTALANDS LÄN</t>
        </is>
      </c>
      <c r="G295" t="inlineStr">
        <is>
          <t>VÅRGÅRDA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46231</v>
      </c>
      <c r="F296" t="inlineStr">
        <is>
          <t>VÄSTRA GÖTALANDS LÄN</t>
        </is>
      </c>
      <c r="G296" t="inlineStr">
        <is>
          <t>VÅRGÅRDA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45693</v>
      </c>
      <c r="E297" s="1" t="n">
        <v>46231</v>
      </c>
      <c r="F297" t="inlineStr">
        <is>
          <t>VÄSTRA GÖTALANDS LÄN</t>
        </is>
      </c>
      <c r="G297" t="inlineStr">
        <is>
          <t>VÅRGÅRDA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46231</v>
      </c>
      <c r="F298" t="inlineStr">
        <is>
          <t>VÄSTRA GÖTALANDS LÄN</t>
        </is>
      </c>
      <c r="G298" t="inlineStr">
        <is>
          <t>VÅRGÅRDA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46231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Sveaskog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45406</v>
      </c>
      <c r="E300" s="1" t="n">
        <v>46231</v>
      </c>
      <c r="F300" t="inlineStr">
        <is>
          <t>VÄSTRA GÖTALANDS LÄN</t>
        </is>
      </c>
      <c r="G300" t="inlineStr">
        <is>
          <t>VÅRGÅRDA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44452</v>
      </c>
      <c r="E301" s="1" t="n">
        <v>46231</v>
      </c>
      <c r="F301" t="inlineStr">
        <is>
          <t>VÄSTRA GÖTALANDS LÄN</t>
        </is>
      </c>
      <c r="G301" t="inlineStr">
        <is>
          <t>VÅRGÅRDA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46231</v>
      </c>
      <c r="F302" t="inlineStr">
        <is>
          <t>VÄSTRA GÖTALANDS LÄN</t>
        </is>
      </c>
      <c r="G302" t="inlineStr">
        <is>
          <t>VÅRGÅRDA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9749-2023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46231</v>
      </c>
      <c r="F303" t="inlineStr">
        <is>
          <t>VÄSTRA GÖTALANDS LÄN</t>
        </is>
      </c>
      <c r="G303" t="inlineStr">
        <is>
          <t>VÅRGÅRDA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46231</v>
      </c>
      <c r="F304" t="inlineStr">
        <is>
          <t>VÄSTRA GÖTALANDS LÄN</t>
        </is>
      </c>
      <c r="G304" t="inlineStr">
        <is>
          <t>VÅRGÅRDA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44895</v>
      </c>
      <c r="E305" s="1" t="n">
        <v>46231</v>
      </c>
      <c r="F305" t="inlineStr">
        <is>
          <t>VÄSTRA GÖTALANDS LÄN</t>
        </is>
      </c>
      <c r="G305" t="inlineStr">
        <is>
          <t>VÅRGÅRDA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44922</v>
      </c>
      <c r="E306" s="1" t="n">
        <v>46231</v>
      </c>
      <c r="F306" t="inlineStr">
        <is>
          <t>VÄSTRA GÖTALANDS LÄN</t>
        </is>
      </c>
      <c r="G306" t="inlineStr">
        <is>
          <t>VÅRGÅRDA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46231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Allmännings- och besparingsskogar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46231</v>
      </c>
      <c r="F308" t="inlineStr">
        <is>
          <t>VÄSTRA GÖTALANDS LÄN</t>
        </is>
      </c>
      <c r="G308" t="inlineStr">
        <is>
          <t>VÅRGÅRDA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46231</v>
      </c>
      <c r="F309" t="inlineStr">
        <is>
          <t>VÄSTRA GÖTALANDS LÄN</t>
        </is>
      </c>
      <c r="G309" t="inlineStr">
        <is>
          <t>VÅRGÅRDA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45247</v>
      </c>
      <c r="E310" s="1" t="n">
        <v>46231</v>
      </c>
      <c r="F310" t="inlineStr">
        <is>
          <t>VÄSTRA GÖTALANDS LÄN</t>
        </is>
      </c>
      <c r="G310" t="inlineStr">
        <is>
          <t>VÅRGÅRDA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45375</v>
      </c>
      <c r="E311" s="1" t="n">
        <v>46231</v>
      </c>
      <c r="F311" t="inlineStr">
        <is>
          <t>VÄSTRA GÖTALANDS LÄN</t>
        </is>
      </c>
      <c r="G311" t="inlineStr">
        <is>
          <t>VÅRGÅRDA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45620</v>
      </c>
      <c r="E312" s="1" t="n">
        <v>46231</v>
      </c>
      <c r="F312" t="inlineStr">
        <is>
          <t>VÄSTRA GÖTALANDS LÄN</t>
        </is>
      </c>
      <c r="G312" t="inlineStr">
        <is>
          <t>VÅRGÅRDA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46231</v>
      </c>
      <c r="F313" t="inlineStr">
        <is>
          <t>VÄSTRA GÖTALANDS LÄN</t>
        </is>
      </c>
      <c r="G313" t="inlineStr">
        <is>
          <t>VÅRGÅRDA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44952</v>
      </c>
      <c r="E314" s="1" t="n">
        <v>46231</v>
      </c>
      <c r="F314" t="inlineStr">
        <is>
          <t>VÄSTRA GÖTALANDS LÄN</t>
        </is>
      </c>
      <c r="G314" t="inlineStr">
        <is>
          <t>VÅRGÅRDA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45189</v>
      </c>
      <c r="E315" s="1" t="n">
        <v>46231</v>
      </c>
      <c r="F315" t="inlineStr">
        <is>
          <t>VÄSTRA GÖTALANDS LÄN</t>
        </is>
      </c>
      <c r="G315" t="inlineStr">
        <is>
          <t>VÅRGÅRDA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52016-2021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44463</v>
      </c>
      <c r="E316" s="1" t="n">
        <v>46231</v>
      </c>
      <c r="F316" t="inlineStr">
        <is>
          <t>VÄSTRA GÖTALANDS LÄN</t>
        </is>
      </c>
      <c r="G316" t="inlineStr">
        <is>
          <t>VÅRGÅRDA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55240-2023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45237</v>
      </c>
      <c r="E317" s="1" t="n">
        <v>46231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45664</v>
      </c>
      <c r="E318" s="1" t="n">
        <v>46231</v>
      </c>
      <c r="F318" t="inlineStr">
        <is>
          <t>VÄSTRA GÖTALANDS LÄN</t>
        </is>
      </c>
      <c r="G318" t="inlineStr">
        <is>
          <t>VÅRGÅRDA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46231</v>
      </c>
      <c r="F319" t="inlineStr">
        <is>
          <t>VÄSTRA GÖTALANDS LÄN</t>
        </is>
      </c>
      <c r="G319" t="inlineStr">
        <is>
          <t>VÅRGÅRDA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46231</v>
      </c>
      <c r="F320" t="inlineStr">
        <is>
          <t>VÄSTRA GÖTALANDS LÄN</t>
        </is>
      </c>
      <c r="G320" t="inlineStr">
        <is>
          <t>VÅRGÅRDA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44968</v>
      </c>
      <c r="E321" s="1" t="n">
        <v>46231</v>
      </c>
      <c r="F321" t="inlineStr">
        <is>
          <t>VÄSTRA GÖTALANDS LÄN</t>
        </is>
      </c>
      <c r="G321" t="inlineStr">
        <is>
          <t>VÅRGÅRDA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63073-2023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45273</v>
      </c>
      <c r="E322" s="1" t="n">
        <v>46231</v>
      </c>
      <c r="F322" t="inlineStr">
        <is>
          <t>VÄSTRA GÖTALANDS LÄN</t>
        </is>
      </c>
      <c r="G322" t="inlineStr">
        <is>
          <t>VÅRGÅRDA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45397</v>
      </c>
      <c r="E323" s="1" t="n">
        <v>46231</v>
      </c>
      <c r="F323" t="inlineStr">
        <is>
          <t>VÄSTRA GÖTALANDS LÄN</t>
        </is>
      </c>
      <c r="G323" t="inlineStr">
        <is>
          <t>VÅRGÅRDA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45397</v>
      </c>
      <c r="E324" s="1" t="n">
        <v>46231</v>
      </c>
      <c r="F324" t="inlineStr">
        <is>
          <t>VÄSTRA GÖTALANDS LÄN</t>
        </is>
      </c>
      <c r="G324" t="inlineStr">
        <is>
          <t>VÅRGÅRDA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45469</v>
      </c>
      <c r="E325" s="1" t="n">
        <v>46231</v>
      </c>
      <c r="F325" t="inlineStr">
        <is>
          <t>VÄSTRA GÖTALANDS LÄN</t>
        </is>
      </c>
      <c r="G325" t="inlineStr">
        <is>
          <t>VÅRGÅRDA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46231</v>
      </c>
      <c r="F326" t="inlineStr">
        <is>
          <t>VÄSTRA GÖTALANDS LÄN</t>
        </is>
      </c>
      <c r="G326" t="inlineStr">
        <is>
          <t>VÅRGÅRDA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46231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45329</v>
      </c>
      <c r="E328" s="1" t="n">
        <v>46231</v>
      </c>
      <c r="F328" t="inlineStr">
        <is>
          <t>VÄSTRA GÖTALANDS LÄN</t>
        </is>
      </c>
      <c r="G328" t="inlineStr">
        <is>
          <t>VÅRGÅRDA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46231</v>
      </c>
      <c r="F329" t="inlineStr">
        <is>
          <t>VÄSTRA GÖTALANDS LÄN</t>
        </is>
      </c>
      <c r="G329" t="inlineStr">
        <is>
          <t>VÅRGÅRDA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45782</v>
      </c>
      <c r="E330" s="1" t="n">
        <v>46231</v>
      </c>
      <c r="F330" t="inlineStr">
        <is>
          <t>VÄSTRA GÖTALANDS LÄN</t>
        </is>
      </c>
      <c r="G330" t="inlineStr">
        <is>
          <t>VÅRGÅRDA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46231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45309-2024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45576</v>
      </c>
      <c r="E332" s="1" t="n">
        <v>46231</v>
      </c>
      <c r="F332" t="inlineStr">
        <is>
          <t>VÄSTRA GÖTALANDS LÄN</t>
        </is>
      </c>
      <c r="G332" t="inlineStr">
        <is>
          <t>VÅRGÅRDA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25324-2025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45800</v>
      </c>
      <c r="E333" s="1" t="n">
        <v>46231</v>
      </c>
      <c r="F333" t="inlineStr">
        <is>
          <t>VÄSTRA GÖTALANDS LÄN</t>
        </is>
      </c>
      <c r="G333" t="inlineStr">
        <is>
          <t>VÅRGÅRDA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46231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46231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46231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46231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46231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46231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46231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46231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46231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46231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46231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46231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46231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46231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46231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2026-07-28T01:51:35Z</dcterms:created>
  <dcterms:modified xmlns:dcterms="http://purl.org/dc/terms/" xmlns:xsi="http://www.w3.org/2001/XMLSchema-instance" xsi:type="dcterms:W3CDTF">2026-07-28T01:51:35Z</dcterms:modified>
</cp:coreProperties>
</file>