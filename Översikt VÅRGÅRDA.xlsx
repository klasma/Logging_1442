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45845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45845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17649-2019</t>
        </is>
      </c>
      <c r="B4" s="1" t="n">
        <v>43556</v>
      </c>
      <c r="C4" s="1" t="n">
        <v>45845</v>
      </c>
      <c r="D4" t="inlineStr">
        <is>
          <t>VÄSTRA GÖTALANDS LÄN</t>
        </is>
      </c>
      <c r="E4" t="inlineStr">
        <is>
          <t>VÅRGÅRDA</t>
        </is>
      </c>
      <c r="F4" t="inlineStr">
        <is>
          <t>Kyrkan</t>
        </is>
      </c>
      <c r="G4" t="n">
        <v>1.6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HYPERLINK("https://klasma.github.io/Logging_1442/artfynd/A 17649-2019 artfynd.xlsx", "A 17649-2019")</f>
        <v/>
      </c>
      <c r="T4">
        <f>HYPERLINK("https://klasma.github.io/Logging_1442/kartor/A 17649-2019 karta.png", "A 17649-2019")</f>
        <v/>
      </c>
      <c r="U4">
        <f>HYPERLINK("https://klasma.github.io/Logging_1442/knärot/A 17649-2019 karta knärot.png", "A 17649-2019")</f>
        <v/>
      </c>
      <c r="V4">
        <f>HYPERLINK("https://klasma.github.io/Logging_1442/klagomål/A 17649-2019 FSC-klagomål.docx", "A 17649-2019")</f>
        <v/>
      </c>
      <c r="W4">
        <f>HYPERLINK("https://klasma.github.io/Logging_1442/klagomålsmail/A 17649-2019 FSC-klagomål mail.docx", "A 17649-2019")</f>
        <v/>
      </c>
      <c r="X4">
        <f>HYPERLINK("https://klasma.github.io/Logging_1442/tillsyn/A 17649-2019 tillsynsbegäran.docx", "A 17649-2019")</f>
        <v/>
      </c>
      <c r="Y4">
        <f>HYPERLINK("https://klasma.github.io/Logging_1442/tillsynsmail/A 17649-2019 tillsynsbegäran mail.docx", "A 17649-2019")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45845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45845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45845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25757-2023</t>
        </is>
      </c>
      <c r="B8" s="1" t="n">
        <v>45090</v>
      </c>
      <c r="C8" s="1" t="n">
        <v>45845</v>
      </c>
      <c r="D8" t="inlineStr">
        <is>
          <t>VÄSTRA GÖTALANDS LÄN</t>
        </is>
      </c>
      <c r="E8" t="inlineStr">
        <is>
          <t>VÅRGÅRDA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HYPERLINK("https://klasma.github.io/Logging_1442/artfynd/A 25757-2023 artfynd.xlsx", "A 25757-2023")</f>
        <v/>
      </c>
      <c r="T8">
        <f>HYPERLINK("https://klasma.github.io/Logging_1442/kartor/A 25757-2023 karta.png", "A 25757-2023")</f>
        <v/>
      </c>
      <c r="V8">
        <f>HYPERLINK("https://klasma.github.io/Logging_1442/klagomål/A 25757-2023 FSC-klagomål.docx", "A 25757-2023")</f>
        <v/>
      </c>
      <c r="W8">
        <f>HYPERLINK("https://klasma.github.io/Logging_1442/klagomålsmail/A 25757-2023 FSC-klagomål mail.docx", "A 25757-2023")</f>
        <v/>
      </c>
      <c r="X8">
        <f>HYPERLINK("https://klasma.github.io/Logging_1442/tillsyn/A 25757-2023 tillsynsbegäran.docx", "A 25757-2023")</f>
        <v/>
      </c>
      <c r="Y8">
        <f>HYPERLINK("https://klasma.github.io/Logging_1442/tillsynsmail/A 25757-2023 tillsynsbegäran mail.docx", "A 25757-2023")</f>
        <v/>
      </c>
    </row>
    <row r="9" ht="15" customHeight="1">
      <c r="A9" t="inlineStr">
        <is>
          <t>A 17645-2019</t>
        </is>
      </c>
      <c r="B9" s="1" t="n">
        <v>43556</v>
      </c>
      <c r="C9" s="1" t="n">
        <v>45845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45845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45845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45845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45845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45845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45845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45845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45845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45845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45845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45845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45845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45845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45845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45845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45845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45845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45845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45845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45845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45845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45845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45845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45845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45845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45845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45845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45845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45845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45845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45845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45845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45845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45845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45845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45845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45845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45845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45845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45845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45845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45845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45845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45845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45845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45845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45845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45845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45845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45845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45845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45845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45845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45845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45845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45845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45845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45845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45845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45845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45845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45845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45845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45845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45845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45845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45845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45845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45845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45845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45845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45845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45845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45845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45845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45845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45845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45845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45845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45845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45845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45845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45845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45845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45845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45845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45845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45845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45845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45845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45845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45845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45845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45845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45845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45845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45845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45845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45845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45845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45845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45845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45845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45845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45845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45845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45845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45845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45845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45845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45845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45845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45845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45845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45845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45845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45845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45845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45845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45845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45845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45845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45845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45845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45845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45845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45845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45845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45845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45845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45845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45845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45845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45845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45845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45845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45845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45845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45845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45845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45845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45845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45845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45845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45845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45845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45845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45845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45845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45845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45845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45845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45845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45845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45845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45845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45845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45845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45845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45845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45845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45845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45845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45845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45845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45845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45845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45845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45845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45845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45845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45845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45845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45845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45845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45845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45845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45845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45845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45845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45845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45845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45845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45845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45845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45845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45845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45845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45845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45845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45845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45845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45845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45845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45845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45845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45845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45845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45845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45845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45845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45845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45845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45845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45845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45845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45845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45845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45845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45845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45845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45845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45845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45845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45845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45845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45845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45845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45845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45845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45845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45845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45845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45845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45845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45845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45845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45845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45845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45845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45845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45845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45845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45845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45845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45845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45845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45845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45845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45845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45845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45845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45845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45845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45845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45845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45845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45845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45845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45845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45845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45845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45845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45845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45845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45845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45845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45845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45845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45845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45845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45845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45845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45845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45845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45845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45845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45845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45845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45845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45845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45845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45845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45845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45845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45845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45845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45845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45845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45845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45845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45845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45845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45845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45845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45845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45845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45845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45845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45845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45845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45845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45845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45845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45845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45845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45845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45845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45845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45845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45845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45845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45845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45845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45845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45845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45845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45845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45845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45845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45845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45845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45845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45845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45845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45845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45845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45845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45845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45845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45845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45845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45845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45845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45845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45845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45845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45845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45845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45845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45845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45845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45845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45845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45845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45845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45845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45845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45845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45845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45845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45845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45845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45845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45845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45845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45845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45845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45845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45845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45845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45845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45845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45845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45845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45845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45845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45845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45845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45845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45845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45845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45845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45845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45845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45845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45845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45845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45845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45845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45845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45845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45845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45845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45845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45845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45845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45845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45845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45845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45845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45845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45845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45845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45845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45845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45845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45845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45845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45845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45845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45845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45845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45845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45845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45845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45845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45845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45845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45845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45845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45845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45845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45845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45845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45845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45845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45845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45845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45845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45845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45845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45845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45845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45845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45845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45845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45845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45845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45845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45845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45845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45845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45845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45845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45845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45845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45845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45845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45845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45845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45845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45845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45845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45845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45845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45845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45845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45845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45845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45845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45845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45845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45845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45845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45845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45845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45845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45845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45845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45845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45845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45845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45845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45845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45845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45845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45845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45845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45845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45845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45845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45845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45845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45845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45845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45845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45845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45845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45845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45845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45845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45845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45845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45845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45845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45845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45845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45845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45845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45845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45845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45845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45845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45845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45845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45845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45845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45845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45845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45845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45845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45845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45845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45845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45845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45845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45845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45845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45845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45845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45845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45845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45845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45845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45845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45845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45845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45845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45845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45845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45845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45845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45845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45845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45845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45845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45845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45845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45845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45845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45845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45845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45845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45845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45845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45845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45845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45845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45845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45845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45845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45845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25909-2025</t>
        </is>
      </c>
      <c r="B543" s="1" t="n">
        <v>45804</v>
      </c>
      <c r="C543" s="1" t="n">
        <v>45845</v>
      </c>
      <c r="D543" t="inlineStr">
        <is>
          <t>VÄSTRA GÖTALANDS LÄN</t>
        </is>
      </c>
      <c r="E543" t="inlineStr">
        <is>
          <t>VÅRGÅRDA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45845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26964-2025</t>
        </is>
      </c>
      <c r="B545" s="1" t="n">
        <v>45811</v>
      </c>
      <c r="C545" s="1" t="n">
        <v>45845</v>
      </c>
      <c r="D545" t="inlineStr">
        <is>
          <t>VÄSTRA GÖTALANDS LÄN</t>
        </is>
      </c>
      <c r="E545" t="inlineStr">
        <is>
          <t>VÅRGÅRDA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27112-2025</t>
        </is>
      </c>
      <c r="B546" s="1" t="n">
        <v>45811</v>
      </c>
      <c r="C546" s="1" t="n">
        <v>45845</v>
      </c>
      <c r="D546" t="inlineStr">
        <is>
          <t>VÄSTRA GÖTALANDS LÄN</t>
        </is>
      </c>
      <c r="E546" t="inlineStr">
        <is>
          <t>VÅRGÅRDA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27109-2025</t>
        </is>
      </c>
      <c r="B547" s="1" t="n">
        <v>45811</v>
      </c>
      <c r="C547" s="1" t="n">
        <v>45845</v>
      </c>
      <c r="D547" t="inlineStr">
        <is>
          <t>VÄSTRA GÖTALANDS LÄN</t>
        </is>
      </c>
      <c r="E547" t="inlineStr">
        <is>
          <t>VÅRGÅRDA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27110-2025</t>
        </is>
      </c>
      <c r="B548" s="1" t="n">
        <v>45811</v>
      </c>
      <c r="C548" s="1" t="n">
        <v>45845</v>
      </c>
      <c r="D548" t="inlineStr">
        <is>
          <t>VÄSTRA GÖTALANDS LÄN</t>
        </is>
      </c>
      <c r="E548" t="inlineStr">
        <is>
          <t>VÅRGÅRDA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27249-2025</t>
        </is>
      </c>
      <c r="B549" s="1" t="n">
        <v>45812</v>
      </c>
      <c r="C549" s="1" t="n">
        <v>45845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27227-2025</t>
        </is>
      </c>
      <c r="B550" s="1" t="n">
        <v>45812</v>
      </c>
      <c r="C550" s="1" t="n">
        <v>45845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45845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28049-2025</t>
        </is>
      </c>
      <c r="B552" s="1" t="n">
        <v>45817</v>
      </c>
      <c r="C552" s="1" t="n">
        <v>45845</v>
      </c>
      <c r="D552" t="inlineStr">
        <is>
          <t>VÄSTRA GÖTALANDS LÄN</t>
        </is>
      </c>
      <c r="E552" t="inlineStr">
        <is>
          <t>VÅRGÅRDA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28052-2025</t>
        </is>
      </c>
      <c r="B553" s="1" t="n">
        <v>45817</v>
      </c>
      <c r="C553" s="1" t="n">
        <v>45845</v>
      </c>
      <c r="D553" t="inlineStr">
        <is>
          <t>VÄSTRA GÖTALANDS LÄN</t>
        </is>
      </c>
      <c r="E553" t="inlineStr">
        <is>
          <t>VÅRGÅRDA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28218-2025</t>
        </is>
      </c>
      <c r="B554" s="1" t="n">
        <v>45818</v>
      </c>
      <c r="C554" s="1" t="n">
        <v>45845</v>
      </c>
      <c r="D554" t="inlineStr">
        <is>
          <t>VÄSTRA GÖTALANDS LÄN</t>
        </is>
      </c>
      <c r="E554" t="inlineStr">
        <is>
          <t>VÅRGÅRDA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28152-2025</t>
        </is>
      </c>
      <c r="B555" s="1" t="n">
        <v>45818</v>
      </c>
      <c r="C555" s="1" t="n">
        <v>45845</v>
      </c>
      <c r="D555" t="inlineStr">
        <is>
          <t>VÄSTRA GÖTALANDS LÄN</t>
        </is>
      </c>
      <c r="E555" t="inlineStr">
        <is>
          <t>VÅRGÅRDA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29067-2025</t>
        </is>
      </c>
      <c r="B556" s="1" t="n">
        <v>45821</v>
      </c>
      <c r="C556" s="1" t="n">
        <v>45845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30079-2025</t>
        </is>
      </c>
      <c r="B557" s="1" t="n">
        <v>45826</v>
      </c>
      <c r="C557" s="1" t="n">
        <v>45845</v>
      </c>
      <c r="D557" t="inlineStr">
        <is>
          <t>VÄSTRA GÖTALANDS LÄN</t>
        </is>
      </c>
      <c r="E557" t="inlineStr">
        <is>
          <t>VÅRGÅRDA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2025-07-07T19:43:05Z</dcterms:created>
  <dcterms:modified xmlns:dcterms="http://purl.org/dc/terms/" xmlns:xsi="http://www.w3.org/2001/XMLSchema-instance" xsi:type="dcterms:W3CDTF">2025-07-07T19:43:06Z</dcterms:modified>
</cp:coreProperties>
</file>