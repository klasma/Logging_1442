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46300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46300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46300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46300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46300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46300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46300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46300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46300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11214-2023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44992</v>
      </c>
      <c r="E13" s="1" t="n">
        <v>46300</v>
      </c>
      <c r="F13" t="inlineStr">
        <is>
          <t>VÄSTRA GÖTALANDS LÄN</t>
        </is>
      </c>
      <c r="G13" t="inlineStr">
        <is>
          <t>VÅRGÅRDA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Stare</t>
        </is>
      </c>
      <c r="W13">
        <f>HYPERLINK("https://klasma.github.io/Logging_1442/artfynd/A 11214-2023 artfynd.xlsx", "A 11214-2023")</f>
        <v/>
      </c>
      <c r="X13">
        <f>HYPERLINK("https://klasma.github.io/Logging_1442/kartor/A 11214-2023 karta.png", "A 11214-2023")</f>
        <v/>
      </c>
      <c r="Y13">
        <f>HYPERLINK("https://klasma.github.io/Logging_1442/kartor_geotiff/A 11214-2023 georefererad karta.tif", "A 11214-2023")</f>
        <v/>
      </c>
      <c r="AA13">
        <f>HYPERLINK("https://klasma.github.io/Logging_1442/klagomål/A 11214-2023 FSC-klagomål.docx", "A 11214-2023")</f>
        <v/>
      </c>
      <c r="AB13">
        <f>HYPERLINK("https://klasma.github.io/Logging_1442/klagomålsmail/A 11214-2023 FSC-klagomål mail.docx", "A 11214-2023")</f>
        <v/>
      </c>
      <c r="AC13">
        <f>HYPERLINK("https://klasma.github.io/Logging_1442/tillsyn/A 11214-2023 tillsynsbegäran.docx", "A 11214-2023")</f>
        <v/>
      </c>
      <c r="AD13">
        <f>HYPERLINK("https://klasma.github.io/Logging_1442/tillsynsmail/A 11214-2023 tillsynsbegäran mail.docx", "A 11214-2023")</f>
        <v/>
      </c>
      <c r="AE13">
        <f>HYPERLINK("https://klasma.github.io/Logging_1442/fåglar/A 11214-2023 prioriterade fågelarter.docx", "A 11214-2023")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46300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46300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13991-2023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45008</v>
      </c>
      <c r="E16" s="1" t="n">
        <v>46300</v>
      </c>
      <c r="F16" t="inlineStr">
        <is>
          <t>VÄSTRA GÖTALANDS LÄN</t>
        </is>
      </c>
      <c r="G16" t="inlineStr">
        <is>
          <t>VÅRGÅRDA</t>
        </is>
      </c>
      <c r="I16" t="n">
        <v>0.2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13991-2023 artfynd.xlsx", "A 13991-2023")</f>
        <v/>
      </c>
      <c r="X16">
        <f>HYPERLINK("https://klasma.github.io/Logging_1442/kartor/A 13991-2023 karta.png", "A 13991-2023")</f>
        <v/>
      </c>
      <c r="Y16">
        <f>HYPERLINK("https://klasma.github.io/Logging_1442/kartor_geotiff/A 13991-2023 georefererad karta.tif", "A 13991-2023")</f>
        <v/>
      </c>
      <c r="AA16">
        <f>HYPERLINK("https://klasma.github.io/Logging_1442/klagomål/A 13991-2023 FSC-klagomål.docx", "A 13991-2023")</f>
        <v/>
      </c>
      <c r="AB16">
        <f>HYPERLINK("https://klasma.github.io/Logging_1442/klagomålsmail/A 13991-2023 FSC-klagomål mail.docx", "A 13991-2023")</f>
        <v/>
      </c>
      <c r="AC16">
        <f>HYPERLINK("https://klasma.github.io/Logging_1442/tillsyn/A 13991-2023 tillsynsbegäran.docx", "A 13991-2023")</f>
        <v/>
      </c>
      <c r="AD16">
        <f>HYPERLINK("https://klasma.github.io/Logging_1442/tillsynsmail/A 13991-2023 tillsynsbegäran mail.docx", "A 13991-2023")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46300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17527-2025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46300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17527-2025 artfynd.xlsx", "A 17527-2025")</f>
        <v/>
      </c>
      <c r="X18">
        <f>HYPERLINK("https://klasma.github.io/Logging_1442/kartor/A 17527-2025 karta.png", "A 17527-2025")</f>
        <v/>
      </c>
      <c r="Y18">
        <f>HYPERLINK("https://klasma.github.io/Logging_1442/kartor_geotiff/A 17527-2025 georefererad karta.tif", "A 17527-2025")</f>
        <v/>
      </c>
      <c r="AA18">
        <f>HYPERLINK("https://klasma.github.io/Logging_1442/klagomål/A 17527-2025 FSC-klagomål.docx", "A 17527-2025")</f>
        <v/>
      </c>
      <c r="AB18">
        <f>HYPERLINK("https://klasma.github.io/Logging_1442/klagomålsmail/A 17527-2025 FSC-klagomål mail.docx", "A 17527-2025")</f>
        <v/>
      </c>
      <c r="AC18">
        <f>HYPERLINK("https://klasma.github.io/Logging_1442/tillsyn/A 17527-2025 tillsynsbegäran.docx", "A 17527-2025")</f>
        <v/>
      </c>
      <c r="AD18">
        <f>HYPERLINK("https://klasma.github.io/Logging_1442/tillsynsmail/A 17527-2025 tillsynsbegäran mail.docx", "A 17527-2025")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46300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46300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46300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46300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46300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46300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46300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46300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46300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46300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46300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46300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46300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46300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46300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46300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46300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46300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46300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46300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46300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46300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46300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46300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46300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46300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Sveaskog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64234-2021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46300</v>
      </c>
      <c r="F48" t="inlineStr">
        <is>
          <t>VÄSTRA GÖTALANDS LÄN</t>
        </is>
      </c>
      <c r="G48" t="inlineStr">
        <is>
          <t>VÅRGÅRDA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46300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46300</v>
      </c>
      <c r="F50" t="inlineStr">
        <is>
          <t>VÄSTRA GÖTALANDS LÄN</t>
        </is>
      </c>
      <c r="G50" t="inlineStr">
        <is>
          <t>VÅRGÅRDA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46300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44984</v>
      </c>
      <c r="E52" s="1" t="n">
        <v>46300</v>
      </c>
      <c r="F52" t="inlineStr">
        <is>
          <t>VÄSTRA GÖTALANDS LÄN</t>
        </is>
      </c>
      <c r="G52" t="inlineStr">
        <is>
          <t>VÅRGÅRDA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46300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46300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46300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46300</v>
      </c>
      <c r="F56" t="inlineStr">
        <is>
          <t>VÄSTRA GÖTALANDS LÄN</t>
        </is>
      </c>
      <c r="G56" t="inlineStr">
        <is>
          <t>VÅRGÅRDA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46300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46300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45620</v>
      </c>
      <c r="E59" s="1" t="n">
        <v>46300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46300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46300</v>
      </c>
      <c r="F61" t="inlineStr">
        <is>
          <t>VÄSTRA GÖTALANDS LÄN</t>
        </is>
      </c>
      <c r="G61" t="inlineStr">
        <is>
          <t>VÅRGÅRDA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46300</v>
      </c>
      <c r="F62" t="inlineStr">
        <is>
          <t>VÄSTRA GÖTALANDS LÄN</t>
        </is>
      </c>
      <c r="G62" t="inlineStr">
        <is>
          <t>VÅRGÅRDA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45703</v>
      </c>
      <c r="E63" s="1" t="n">
        <v>46300</v>
      </c>
      <c r="F63" t="inlineStr">
        <is>
          <t>VÄSTRA GÖTALANDS LÄN</t>
        </is>
      </c>
      <c r="G63" t="inlineStr">
        <is>
          <t>VÅRGÅRDA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46300</v>
      </c>
      <c r="F64" t="inlineStr">
        <is>
          <t>VÄSTRA GÖTALANDS LÄN</t>
        </is>
      </c>
      <c r="G64" t="inlineStr">
        <is>
          <t>VÅRGÅRDA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46300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46300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46300</v>
      </c>
      <c r="F67" t="inlineStr">
        <is>
          <t>VÄSTRA GÖTALANDS LÄN</t>
        </is>
      </c>
      <c r="G67" t="inlineStr">
        <is>
          <t>VÅRGÅRDA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46300</v>
      </c>
      <c r="F68" t="inlineStr">
        <is>
          <t>VÄSTRA GÖTALANDS LÄN</t>
        </is>
      </c>
      <c r="G68" t="inlineStr">
        <is>
          <t>VÅRGÅRDA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46300</v>
      </c>
      <c r="F69" t="inlineStr">
        <is>
          <t>VÄSTRA GÖTALANDS LÄN</t>
        </is>
      </c>
      <c r="G69" t="inlineStr">
        <is>
          <t>VÅRGÅRDA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46032</v>
      </c>
      <c r="E70" s="1" t="n">
        <v>46300</v>
      </c>
      <c r="F70" t="inlineStr">
        <is>
          <t>VÄSTRA GÖTALANDS LÄN</t>
        </is>
      </c>
      <c r="G70" t="inlineStr">
        <is>
          <t>VÅRGÅRDA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46300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46032</v>
      </c>
      <c r="E72" s="1" t="n">
        <v>46300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46300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45972</v>
      </c>
      <c r="E74" s="1" t="n">
        <v>46300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46300</v>
      </c>
      <c r="F75" t="inlineStr">
        <is>
          <t>VÄSTRA GÖTALANDS LÄN</t>
        </is>
      </c>
      <c r="G75" t="inlineStr">
        <is>
          <t>VÅRGÅRDA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46300</v>
      </c>
      <c r="F76" t="inlineStr">
        <is>
          <t>VÄSTRA GÖTALANDS LÄN</t>
        </is>
      </c>
      <c r="G76" t="inlineStr">
        <is>
          <t>VÅRGÅRDA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46300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46300</v>
      </c>
      <c r="F78" t="inlineStr">
        <is>
          <t>VÄSTRA GÖTALANDS LÄN</t>
        </is>
      </c>
      <c r="G78" t="inlineStr">
        <is>
          <t>VÅRGÅRDA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45852</v>
      </c>
      <c r="E79" s="1" t="n">
        <v>46300</v>
      </c>
      <c r="F79" t="inlineStr">
        <is>
          <t>VÄSTRA GÖTALANDS LÄN</t>
        </is>
      </c>
      <c r="G79" t="inlineStr">
        <is>
          <t>VÅRGÅRDA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46300</v>
      </c>
      <c r="F80" t="inlineStr">
        <is>
          <t>VÄSTRA GÖTALANDS LÄN</t>
        </is>
      </c>
      <c r="G80" t="inlineStr">
        <is>
          <t>VÅRGÅRDA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46300</v>
      </c>
      <c r="F81" t="inlineStr">
        <is>
          <t>VÄSTRA GÖTALANDS LÄN</t>
        </is>
      </c>
      <c r="G81" t="inlineStr">
        <is>
          <t>VÅRGÅRDA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46300</v>
      </c>
      <c r="F82" t="inlineStr">
        <is>
          <t>VÄSTRA GÖTALANDS LÄN</t>
        </is>
      </c>
      <c r="G82" t="inlineStr">
        <is>
          <t>VÅRGÅRDA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46038</v>
      </c>
      <c r="E83" s="1" t="n">
        <v>46300</v>
      </c>
      <c r="F83" t="inlineStr">
        <is>
          <t>VÄSTRA GÖTALANDS LÄN</t>
        </is>
      </c>
      <c r="G83" t="inlineStr">
        <is>
          <t>VÅRGÅRDA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46038</v>
      </c>
      <c r="E84" s="1" t="n">
        <v>46300</v>
      </c>
      <c r="F84" t="inlineStr">
        <is>
          <t>VÄSTRA GÖTALANDS LÄN</t>
        </is>
      </c>
      <c r="G84" t="inlineStr">
        <is>
          <t>VÅRGÅRDA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46300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46300</v>
      </c>
      <c r="F86" t="inlineStr">
        <is>
          <t>VÄSTRA GÖTALANDS LÄN</t>
        </is>
      </c>
      <c r="G86" t="inlineStr">
        <is>
          <t>VÅRGÅRDA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46300</v>
      </c>
      <c r="F87" t="inlineStr">
        <is>
          <t>VÄSTRA GÖTALANDS LÄN</t>
        </is>
      </c>
      <c r="G87" t="inlineStr">
        <is>
          <t>VÅRGÅRDA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46300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46300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46300</v>
      </c>
      <c r="F90" t="inlineStr">
        <is>
          <t>VÄSTRA GÖTALANDS LÄN</t>
        </is>
      </c>
      <c r="G90" t="inlineStr">
        <is>
          <t>VÅRGÅRDA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46300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46300</v>
      </c>
      <c r="F92" t="inlineStr">
        <is>
          <t>VÄSTRA GÖTALANDS LÄN</t>
        </is>
      </c>
      <c r="G92" t="inlineStr">
        <is>
          <t>VÅRGÅRDA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45309-2024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46300</v>
      </c>
      <c r="F93" t="inlineStr">
        <is>
          <t>VÄSTRA GÖTALANDS LÄN</t>
        </is>
      </c>
      <c r="G93" t="inlineStr">
        <is>
          <t>VÅRGÅRDA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46051</v>
      </c>
      <c r="E94" s="1" t="n">
        <v>46300</v>
      </c>
      <c r="F94" t="inlineStr">
        <is>
          <t>VÄSTRA GÖTALANDS LÄN</t>
        </is>
      </c>
      <c r="G94" t="inlineStr">
        <is>
          <t>VÅRGÅRDA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25324-2025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45800</v>
      </c>
      <c r="E95" s="1" t="n">
        <v>46300</v>
      </c>
      <c r="F95" t="inlineStr">
        <is>
          <t>VÄSTRA GÖTALANDS LÄN</t>
        </is>
      </c>
      <c r="G95" t="inlineStr">
        <is>
          <t>VÅRGÅRDA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46300</v>
      </c>
      <c r="F96" t="inlineStr">
        <is>
          <t>VÄSTRA GÖTALANDS LÄN</t>
        </is>
      </c>
      <c r="G96" t="inlineStr">
        <is>
          <t>VÅRGÅRDA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46300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46300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46300</v>
      </c>
      <c r="F99" t="inlineStr">
        <is>
          <t>VÄSTRA GÖTALANDS LÄN</t>
        </is>
      </c>
      <c r="G99" t="inlineStr">
        <is>
          <t>VÅRGÅRDA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46300</v>
      </c>
      <c r="F100" t="inlineStr">
        <is>
          <t>VÄSTRA GÖTALANDS LÄN</t>
        </is>
      </c>
      <c r="G100" t="inlineStr">
        <is>
          <t>VÅRGÅRDA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46300</v>
      </c>
      <c r="F101" t="inlineStr">
        <is>
          <t>VÄSTRA GÖTALANDS LÄN</t>
        </is>
      </c>
      <c r="G101" t="inlineStr">
        <is>
          <t>VÅRGÅRDA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59325-2023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45253</v>
      </c>
      <c r="E102" s="1" t="n">
        <v>46300</v>
      </c>
      <c r="F102" t="inlineStr">
        <is>
          <t>VÄSTRA GÖTALANDS LÄN</t>
        </is>
      </c>
      <c r="G102" t="inlineStr">
        <is>
          <t>VÅRGÅRDA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46300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45920</v>
      </c>
      <c r="E104" s="1" t="n">
        <v>46300</v>
      </c>
      <c r="F104" t="inlineStr">
        <is>
          <t>VÄSTRA GÖTALANDS LÄN</t>
        </is>
      </c>
      <c r="G104" t="inlineStr">
        <is>
          <t>VÅRGÅRDA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45920</v>
      </c>
      <c r="E105" s="1" t="n">
        <v>46300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45362</v>
      </c>
      <c r="E106" s="1" t="n">
        <v>46300</v>
      </c>
      <c r="F106" t="inlineStr">
        <is>
          <t>VÄSTRA GÖTALANDS LÄN</t>
        </is>
      </c>
      <c r="G106" t="inlineStr">
        <is>
          <t>VÅRGÅRDA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46300</v>
      </c>
      <c r="F107" t="inlineStr">
        <is>
          <t>VÄSTRA GÖTALANDS LÄN</t>
        </is>
      </c>
      <c r="G107" t="inlineStr">
        <is>
          <t>VÅRGÅRDA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46300</v>
      </c>
      <c r="F108" t="inlineStr">
        <is>
          <t>VÄSTRA GÖTALANDS LÄN</t>
        </is>
      </c>
      <c r="G108" t="inlineStr">
        <is>
          <t>VÅRGÅRDA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46300</v>
      </c>
      <c r="F109" t="inlineStr">
        <is>
          <t>VÄSTRA GÖTALANDS LÄN</t>
        </is>
      </c>
      <c r="G109" t="inlineStr">
        <is>
          <t>VÅRGÅRDA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46300</v>
      </c>
      <c r="F110" t="inlineStr">
        <is>
          <t>VÄSTRA GÖTALANDS LÄN</t>
        </is>
      </c>
      <c r="G110" t="inlineStr">
        <is>
          <t>VÅRGÅRDA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46300</v>
      </c>
      <c r="F111" t="inlineStr">
        <is>
          <t>VÄSTRA GÖTALANDS LÄN</t>
        </is>
      </c>
      <c r="G111" t="inlineStr">
        <is>
          <t>VÅRGÅRDA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46300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45927</v>
      </c>
      <c r="E113" s="1" t="n">
        <v>46300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46058</v>
      </c>
      <c r="E114" s="1" t="n">
        <v>46300</v>
      </c>
      <c r="F114" t="inlineStr">
        <is>
          <t>VÄSTRA GÖTALANDS LÄN</t>
        </is>
      </c>
      <c r="G114" t="inlineStr">
        <is>
          <t>VÅRGÅRDA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46300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46300</v>
      </c>
      <c r="F116" t="inlineStr">
        <is>
          <t>VÄSTRA GÖTALANDS LÄN</t>
        </is>
      </c>
      <c r="G116" t="inlineStr">
        <is>
          <t>VÅRGÅRDA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46300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8372-2026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46300</v>
      </c>
      <c r="F118" t="inlineStr">
        <is>
          <t>VÄSTRA GÖTALANDS LÄN</t>
        </is>
      </c>
      <c r="G118" t="inlineStr">
        <is>
          <t>VÅRGÅRDA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46300</v>
      </c>
      <c r="F119" t="inlineStr">
        <is>
          <t>VÄSTRA GÖTALANDS LÄN</t>
        </is>
      </c>
      <c r="G119" t="inlineStr">
        <is>
          <t>VÅRGÅRDA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46300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46300</v>
      </c>
      <c r="F121" t="inlineStr">
        <is>
          <t>VÄSTRA GÖTALANDS LÄN</t>
        </is>
      </c>
      <c r="G121" t="inlineStr">
        <is>
          <t>VÅRGÅRDA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46300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9261-2026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46070</v>
      </c>
      <c r="E123" s="1" t="n">
        <v>46300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9305-2026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46300</v>
      </c>
      <c r="F124" t="inlineStr">
        <is>
          <t>VÄSTRA GÖTALANDS LÄN</t>
        </is>
      </c>
      <c r="G124" t="inlineStr">
        <is>
          <t>VÅRGÅRDA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9297-2026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46070</v>
      </c>
      <c r="E125" s="1" t="n">
        <v>46300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46300</v>
      </c>
      <c r="F126" t="inlineStr">
        <is>
          <t>VÄSTRA GÖTALANDS LÄN</t>
        </is>
      </c>
      <c r="G126" t="inlineStr">
        <is>
          <t>VÅRGÅRDA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9301-2026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46300</v>
      </c>
      <c r="F127" t="inlineStr">
        <is>
          <t>VÄSTRA GÖTALANDS LÄN</t>
        </is>
      </c>
      <c r="G127" t="inlineStr">
        <is>
          <t>VÅRGÅRDA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46300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46300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46300</v>
      </c>
      <c r="F130" t="inlineStr">
        <is>
          <t>VÄSTRA GÖTALANDS LÄN</t>
        </is>
      </c>
      <c r="G130" t="inlineStr">
        <is>
          <t>VÅRGÅRDA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45233</v>
      </c>
      <c r="E131" s="1" t="n">
        <v>46300</v>
      </c>
      <c r="F131" t="inlineStr">
        <is>
          <t>VÄSTRA GÖTALANDS LÄN</t>
        </is>
      </c>
      <c r="G131" t="inlineStr">
        <is>
          <t>VÅRGÅRDA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46300</v>
      </c>
      <c r="F132" t="inlineStr">
        <is>
          <t>VÄSTRA GÖTALANDS LÄN</t>
        </is>
      </c>
      <c r="G132" t="inlineStr">
        <is>
          <t>VÅRGÅRDA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46300</v>
      </c>
      <c r="F133" t="inlineStr">
        <is>
          <t>VÄSTRA GÖTALANDS LÄN</t>
        </is>
      </c>
      <c r="G133" t="inlineStr">
        <is>
          <t>VÅRGÅRDA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46300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46300</v>
      </c>
      <c r="F135" t="inlineStr">
        <is>
          <t>VÄSTRA GÖTALANDS LÄN</t>
        </is>
      </c>
      <c r="G135" t="inlineStr">
        <is>
          <t>VÅRGÅRDA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46300</v>
      </c>
      <c r="F136" t="inlineStr">
        <is>
          <t>VÄSTRA GÖTALANDS LÄN</t>
        </is>
      </c>
      <c r="G136" t="inlineStr">
        <is>
          <t>VÅRGÅRDA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46300</v>
      </c>
      <c r="F137" t="inlineStr">
        <is>
          <t>VÄSTRA GÖTALANDS LÄN</t>
        </is>
      </c>
      <c r="G137" t="inlineStr">
        <is>
          <t>VÅRGÅRDA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44846</v>
      </c>
      <c r="E138" s="1" t="n">
        <v>46300</v>
      </c>
      <c r="F138" t="inlineStr">
        <is>
          <t>VÄSTRA GÖTALANDS LÄN</t>
        </is>
      </c>
      <c r="G138" t="inlineStr">
        <is>
          <t>VÅRGÅRDA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46300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46300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46300</v>
      </c>
      <c r="F141" t="inlineStr">
        <is>
          <t>VÄSTRA GÖTALANDS LÄN</t>
        </is>
      </c>
      <c r="G141" t="inlineStr">
        <is>
          <t>VÅRGÅRDA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45774</v>
      </c>
      <c r="E142" s="1" t="n">
        <v>46300</v>
      </c>
      <c r="F142" t="inlineStr">
        <is>
          <t>VÄSTRA GÖTALANDS LÄN</t>
        </is>
      </c>
      <c r="G142" t="inlineStr">
        <is>
          <t>VÅRGÅRDA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46300</v>
      </c>
      <c r="F143" t="inlineStr">
        <is>
          <t>VÄSTRA GÖTALANDS LÄN</t>
        </is>
      </c>
      <c r="G143" t="inlineStr">
        <is>
          <t>VÅRGÅRDA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46300</v>
      </c>
      <c r="F144" t="inlineStr">
        <is>
          <t>VÄSTRA GÖTALANDS LÄN</t>
        </is>
      </c>
      <c r="G144" t="inlineStr">
        <is>
          <t>VÅRGÅRDA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46300</v>
      </c>
      <c r="F145" t="inlineStr">
        <is>
          <t>VÄSTRA GÖTALANDS LÄN</t>
        </is>
      </c>
      <c r="G145" t="inlineStr">
        <is>
          <t>VÅRGÅRDA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46300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46300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46300</v>
      </c>
      <c r="F148" t="inlineStr">
        <is>
          <t>VÄSTRA GÖTALANDS LÄN</t>
        </is>
      </c>
      <c r="G148" t="inlineStr">
        <is>
          <t>VÅRGÅRDA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46300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46300</v>
      </c>
      <c r="F150" t="inlineStr">
        <is>
          <t>VÄSTRA GÖTALANDS LÄN</t>
        </is>
      </c>
      <c r="G150" t="inlineStr">
        <is>
          <t>VÅRGÅRDA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46300</v>
      </c>
      <c r="F151" t="inlineStr">
        <is>
          <t>VÄSTRA GÖTALANDS LÄN</t>
        </is>
      </c>
      <c r="G151" t="inlineStr">
        <is>
          <t>VÅRGÅRDA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46300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46300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46300</v>
      </c>
      <c r="F154" t="inlineStr">
        <is>
          <t>VÄSTRA GÖTALANDS LÄN</t>
        </is>
      </c>
      <c r="G154" t="inlineStr">
        <is>
          <t>VÅRGÅRDA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44920</v>
      </c>
      <c r="E155" s="1" t="n">
        <v>46300</v>
      </c>
      <c r="F155" t="inlineStr">
        <is>
          <t>VÄSTRA GÖTALANDS LÄN</t>
        </is>
      </c>
      <c r="G155" t="inlineStr">
        <is>
          <t>VÅRGÅRDA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46300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46300</v>
      </c>
      <c r="F157" t="inlineStr">
        <is>
          <t>VÄSTRA GÖTALANDS LÄN</t>
        </is>
      </c>
      <c r="G157" t="inlineStr">
        <is>
          <t>VÅRGÅRDA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46300</v>
      </c>
      <c r="F158" t="inlineStr">
        <is>
          <t>VÄSTRA GÖTALANDS LÄN</t>
        </is>
      </c>
      <c r="G158" t="inlineStr">
        <is>
          <t>VÅRGÅRDA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46300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46300</v>
      </c>
      <c r="F160" t="inlineStr">
        <is>
          <t>VÄSTRA GÖTALANDS LÄN</t>
        </is>
      </c>
      <c r="G160" t="inlineStr">
        <is>
          <t>VÅRGÅRDA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46300</v>
      </c>
      <c r="F161" t="inlineStr">
        <is>
          <t>VÄSTRA GÖTALANDS LÄN</t>
        </is>
      </c>
      <c r="G161" t="inlineStr">
        <is>
          <t>VÅRGÅRDA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45565</v>
      </c>
      <c r="E162" s="1" t="n">
        <v>46300</v>
      </c>
      <c r="F162" t="inlineStr">
        <is>
          <t>VÄSTRA GÖTALANDS LÄN</t>
        </is>
      </c>
      <c r="G162" t="inlineStr">
        <is>
          <t>VÅRGÅRDA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46300</v>
      </c>
      <c r="F163" t="inlineStr">
        <is>
          <t>VÄSTRA GÖTALANDS LÄN</t>
        </is>
      </c>
      <c r="G163" t="inlineStr">
        <is>
          <t>VÅRGÅRDA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46300</v>
      </c>
      <c r="F164" t="inlineStr">
        <is>
          <t>VÄSTRA GÖTALANDS LÄN</t>
        </is>
      </c>
      <c r="G164" t="inlineStr">
        <is>
          <t>VÅRGÅRDA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46300</v>
      </c>
      <c r="F165" t="inlineStr">
        <is>
          <t>VÄSTRA GÖTALANDS LÄN</t>
        </is>
      </c>
      <c r="G165" t="inlineStr">
        <is>
          <t>VÅRGÅRDA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46300</v>
      </c>
      <c r="F166" t="inlineStr">
        <is>
          <t>VÄSTRA GÖTALANDS LÄN</t>
        </is>
      </c>
      <c r="G166" t="inlineStr">
        <is>
          <t>VÅRGÅRDA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46300</v>
      </c>
      <c r="F167" t="inlineStr">
        <is>
          <t>VÄSTRA GÖTALANDS LÄN</t>
        </is>
      </c>
      <c r="G167" t="inlineStr">
        <is>
          <t>VÅRGÅRDA</t>
        </is>
      </c>
      <c r="H167" t="inlineStr">
        <is>
          <t>Sveaskog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46114</v>
      </c>
      <c r="E168" s="1" t="n">
        <v>46300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46300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46300</v>
      </c>
      <c r="F170" t="inlineStr">
        <is>
          <t>VÄSTRA GÖTALANDS LÄN</t>
        </is>
      </c>
      <c r="G170" t="inlineStr">
        <is>
          <t>VÅRGÅRDA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46300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46300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46300</v>
      </c>
      <c r="F173" t="inlineStr">
        <is>
          <t>VÄSTRA GÖTALANDS LÄN</t>
        </is>
      </c>
      <c r="G173" t="inlineStr">
        <is>
          <t>VÅRGÅRDA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46124</v>
      </c>
      <c r="E174" s="1" t="n">
        <v>46300</v>
      </c>
      <c r="F174" t="inlineStr">
        <is>
          <t>VÄSTRA GÖTALANDS LÄN</t>
        </is>
      </c>
      <c r="G174" t="inlineStr">
        <is>
          <t>VÅRGÅRDA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46300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46300</v>
      </c>
      <c r="F176" t="inlineStr">
        <is>
          <t>VÄSTRA GÖTALANDS LÄN</t>
        </is>
      </c>
      <c r="G176" t="inlineStr">
        <is>
          <t>VÅRGÅRDA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46126</v>
      </c>
      <c r="E177" s="1" t="n">
        <v>46300</v>
      </c>
      <c r="F177" t="inlineStr">
        <is>
          <t>VÄSTRA GÖTALANDS LÄN</t>
        </is>
      </c>
      <c r="G177" t="inlineStr">
        <is>
          <t>VÅRGÅRDA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46125</v>
      </c>
      <c r="E178" s="1" t="n">
        <v>46300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46300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Övriga statliga verk och myndigheter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46300</v>
      </c>
      <c r="F180" t="inlineStr">
        <is>
          <t>VÄSTRA GÖTALANDS LÄN</t>
        </is>
      </c>
      <c r="G180" t="inlineStr">
        <is>
          <t>VÅRGÅRDA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46300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46300</v>
      </c>
      <c r="F182" t="inlineStr">
        <is>
          <t>VÄSTRA GÖTALANDS LÄN</t>
        </is>
      </c>
      <c r="G182" t="inlineStr">
        <is>
          <t>VÅRGÅRDA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46126</v>
      </c>
      <c r="E183" s="1" t="n">
        <v>46300</v>
      </c>
      <c r="F183" t="inlineStr">
        <is>
          <t>VÄSTRA GÖTALANDS LÄN</t>
        </is>
      </c>
      <c r="G183" t="inlineStr">
        <is>
          <t>VÅRGÅRDA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46300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46300</v>
      </c>
      <c r="F185" t="inlineStr">
        <is>
          <t>VÄSTRA GÖTALANDS LÄN</t>
        </is>
      </c>
      <c r="G185" t="inlineStr">
        <is>
          <t>VÅRGÅRDA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46300</v>
      </c>
      <c r="F186" t="inlineStr">
        <is>
          <t>VÄSTRA GÖTALANDS LÄN</t>
        </is>
      </c>
      <c r="G186" t="inlineStr">
        <is>
          <t>VÅRGÅRDA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46300</v>
      </c>
      <c r="F187" t="inlineStr">
        <is>
          <t>VÄSTRA GÖTALANDS LÄN</t>
        </is>
      </c>
      <c r="G187" t="inlineStr">
        <is>
          <t>VÅRGÅRDA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46300</v>
      </c>
      <c r="F188" t="inlineStr">
        <is>
          <t>VÄSTRA GÖTALANDS LÄN</t>
        </is>
      </c>
      <c r="G188" t="inlineStr">
        <is>
          <t>VÅRGÅRDA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46300</v>
      </c>
      <c r="F189" t="inlineStr">
        <is>
          <t>VÄSTRA GÖTALANDS LÄN</t>
        </is>
      </c>
      <c r="G189" t="inlineStr">
        <is>
          <t>VÅRGÅRDA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46300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46135</v>
      </c>
      <c r="E191" s="1" t="n">
        <v>46300</v>
      </c>
      <c r="F191" t="inlineStr">
        <is>
          <t>VÄSTRA GÖTALANDS LÄN</t>
        </is>
      </c>
      <c r="G191" t="inlineStr">
        <is>
          <t>VÅRGÅRDA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46134</v>
      </c>
      <c r="E192" s="1" t="n">
        <v>46300</v>
      </c>
      <c r="F192" t="inlineStr">
        <is>
          <t>VÄSTRA GÖTALANDS LÄN</t>
        </is>
      </c>
      <c r="G192" t="inlineStr">
        <is>
          <t>VÅRGÅRDA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45734</v>
      </c>
      <c r="E193" s="1" t="n">
        <v>46300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46300</v>
      </c>
      <c r="F194" t="inlineStr">
        <is>
          <t>VÄSTRA GÖTALANDS LÄN</t>
        </is>
      </c>
      <c r="G194" t="inlineStr">
        <is>
          <t>VÅRGÅRDA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44943</v>
      </c>
      <c r="E195" s="1" t="n">
        <v>46300</v>
      </c>
      <c r="F195" t="inlineStr">
        <is>
          <t>VÄSTRA GÖTALANDS LÄN</t>
        </is>
      </c>
      <c r="G195" t="inlineStr">
        <is>
          <t>VÅRGÅRDA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45134</v>
      </c>
      <c r="E196" s="1" t="n">
        <v>46300</v>
      </c>
      <c r="F196" t="inlineStr">
        <is>
          <t>VÄSTRA GÖTALANDS LÄN</t>
        </is>
      </c>
      <c r="G196" t="inlineStr">
        <is>
          <t>VÅRGÅRDA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46300</v>
      </c>
      <c r="F197" t="inlineStr">
        <is>
          <t>VÄSTRA GÖTALANDS LÄN</t>
        </is>
      </c>
      <c r="G197" t="inlineStr">
        <is>
          <t>VÅRGÅRDA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45429</v>
      </c>
      <c r="E198" s="1" t="n">
        <v>46300</v>
      </c>
      <c r="F198" t="inlineStr">
        <is>
          <t>VÄSTRA GÖTALANDS LÄN</t>
        </is>
      </c>
      <c r="G198" t="inlineStr">
        <is>
          <t>VÅRGÅRDA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44905</v>
      </c>
      <c r="E199" s="1" t="n">
        <v>46300</v>
      </c>
      <c r="F199" t="inlineStr">
        <is>
          <t>VÄSTRA GÖTALANDS LÄN</t>
        </is>
      </c>
      <c r="G199" t="inlineStr">
        <is>
          <t>VÅRGÅRDA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46300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46300</v>
      </c>
      <c r="F201" t="inlineStr">
        <is>
          <t>VÄSTRA GÖTALANDS LÄN</t>
        </is>
      </c>
      <c r="G201" t="inlineStr">
        <is>
          <t>VÅRGÅRDA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46300</v>
      </c>
      <c r="F202" t="inlineStr">
        <is>
          <t>VÄSTRA GÖTALANDS LÄN</t>
        </is>
      </c>
      <c r="G202" t="inlineStr">
        <is>
          <t>VÅRGÅRDA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46300</v>
      </c>
      <c r="F203" t="inlineStr">
        <is>
          <t>VÄSTRA GÖTALANDS LÄN</t>
        </is>
      </c>
      <c r="G203" t="inlineStr">
        <is>
          <t>VÅRGÅRDA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45756</v>
      </c>
      <c r="E204" s="1" t="n">
        <v>46300</v>
      </c>
      <c r="F204" t="inlineStr">
        <is>
          <t>VÄSTRA GÖTALANDS LÄN</t>
        </is>
      </c>
      <c r="G204" t="inlineStr">
        <is>
          <t>VÅRGÅRDA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45573</v>
      </c>
      <c r="E205" s="1" t="n">
        <v>46300</v>
      </c>
      <c r="F205" t="inlineStr">
        <is>
          <t>VÄSTRA GÖTALANDS LÄN</t>
        </is>
      </c>
      <c r="G205" t="inlineStr">
        <is>
          <t>VÅRGÅRDA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46300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46300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10586-2024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46300</v>
      </c>
      <c r="F208" t="inlineStr">
        <is>
          <t>VÄSTRA GÖTALANDS LÄN</t>
        </is>
      </c>
      <c r="G208" t="inlineStr">
        <is>
          <t>VÅRGÅRDA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46300</v>
      </c>
      <c r="F209" t="inlineStr">
        <is>
          <t>VÄSTRA GÖTALANDS LÄN</t>
        </is>
      </c>
      <c r="G209" t="inlineStr">
        <is>
          <t>VÅRGÅRDA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46300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Kommuner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46300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46300</v>
      </c>
      <c r="F212" t="inlineStr">
        <is>
          <t>VÄSTRA GÖTALANDS LÄN</t>
        </is>
      </c>
      <c r="G212" t="inlineStr">
        <is>
          <t>VÅRGÅRDA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46300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46300</v>
      </c>
      <c r="F214" t="inlineStr">
        <is>
          <t>VÄSTRA GÖTALANDS LÄN</t>
        </is>
      </c>
      <c r="G214" t="inlineStr">
        <is>
          <t>VÅRGÅRDA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45859</v>
      </c>
      <c r="E215" s="1" t="n">
        <v>46300</v>
      </c>
      <c r="F215" t="inlineStr">
        <is>
          <t>VÄSTRA GÖTALANDS LÄN</t>
        </is>
      </c>
      <c r="G215" t="inlineStr">
        <is>
          <t>VÅRGÅRDA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46300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45401</v>
      </c>
      <c r="E217" s="1" t="n">
        <v>46300</v>
      </c>
      <c r="F217" t="inlineStr">
        <is>
          <t>VÄSTRA GÖTALANDS LÄN</t>
        </is>
      </c>
      <c r="G217" t="inlineStr">
        <is>
          <t>VÅRGÅRDA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46300</v>
      </c>
      <c r="F218" t="inlineStr">
        <is>
          <t>VÄSTRA GÖTALANDS LÄN</t>
        </is>
      </c>
      <c r="G218" t="inlineStr">
        <is>
          <t>VÅRGÅRDA</t>
        </is>
      </c>
      <c r="H218" t="inlineStr">
        <is>
          <t>Sveaskog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46300</v>
      </c>
      <c r="F219" t="inlineStr">
        <is>
          <t>VÄSTRA GÖTALANDS LÄN</t>
        </is>
      </c>
      <c r="G219" t="inlineStr">
        <is>
          <t>VÅRGÅRDA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46300</v>
      </c>
      <c r="F220" t="inlineStr">
        <is>
          <t>VÄSTRA GÖTALANDS LÄN</t>
        </is>
      </c>
      <c r="G220" t="inlineStr">
        <is>
          <t>VÅRGÅRDA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46300</v>
      </c>
      <c r="F221" t="inlineStr">
        <is>
          <t>VÄSTRA GÖTALANDS LÄN</t>
        </is>
      </c>
      <c r="G221" t="inlineStr">
        <is>
          <t>VÅRGÅRDA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46300</v>
      </c>
      <c r="F222" t="inlineStr">
        <is>
          <t>VÄSTRA GÖTALANDS LÄN</t>
        </is>
      </c>
      <c r="G222" t="inlineStr">
        <is>
          <t>VÅRGÅRDA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46300</v>
      </c>
      <c r="F223" t="inlineStr">
        <is>
          <t>VÄSTRA GÖTALANDS LÄN</t>
        </is>
      </c>
      <c r="G223" t="inlineStr">
        <is>
          <t>VÅRGÅRDA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46300</v>
      </c>
      <c r="F224" t="inlineStr">
        <is>
          <t>VÄSTRA GÖTALANDS LÄN</t>
        </is>
      </c>
      <c r="G224" t="inlineStr">
        <is>
          <t>VÅRGÅRDA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46300</v>
      </c>
      <c r="F225" t="inlineStr">
        <is>
          <t>VÄSTRA GÖTALANDS LÄN</t>
        </is>
      </c>
      <c r="G225" t="inlineStr">
        <is>
          <t>VÅRGÅRDA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46300</v>
      </c>
      <c r="F226" t="inlineStr">
        <is>
          <t>VÄSTRA GÖTALANDS LÄN</t>
        </is>
      </c>
      <c r="G226" t="inlineStr">
        <is>
          <t>VÅRGÅRDA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45406</v>
      </c>
      <c r="E227" s="1" t="n">
        <v>46300</v>
      </c>
      <c r="F227" t="inlineStr">
        <is>
          <t>VÄSTRA GÖTALANDS LÄN</t>
        </is>
      </c>
      <c r="G227" t="inlineStr">
        <is>
          <t>VÅRGÅRDA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46300</v>
      </c>
      <c r="F228" t="inlineStr">
        <is>
          <t>VÄSTRA GÖTALANDS LÄN</t>
        </is>
      </c>
      <c r="G228" t="inlineStr">
        <is>
          <t>VÅRGÅRDA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46300</v>
      </c>
      <c r="F229" t="inlineStr">
        <is>
          <t>VÄSTRA GÖTALANDS LÄN</t>
        </is>
      </c>
      <c r="G229" t="inlineStr">
        <is>
          <t>VÅRGÅRDA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46300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46300</v>
      </c>
      <c r="F231" t="inlineStr">
        <is>
          <t>VÄSTRA GÖTALANDS LÄN</t>
        </is>
      </c>
      <c r="G231" t="inlineStr">
        <is>
          <t>VÅRGÅRDA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45406</v>
      </c>
      <c r="E232" s="1" t="n">
        <v>46300</v>
      </c>
      <c r="F232" t="inlineStr">
        <is>
          <t>VÄSTRA GÖTALANDS LÄN</t>
        </is>
      </c>
      <c r="G232" t="inlineStr">
        <is>
          <t>VÅRGÅRDA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46300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Allmännings- och besparingsskogar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46300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45538</v>
      </c>
      <c r="E235" s="1" t="n">
        <v>46300</v>
      </c>
      <c r="F235" t="inlineStr">
        <is>
          <t>VÄSTRA GÖTALANDS LÄN</t>
        </is>
      </c>
      <c r="G235" t="inlineStr">
        <is>
          <t>VÅRGÅRDA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46300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46300</v>
      </c>
      <c r="F237" t="inlineStr">
        <is>
          <t>VÄSTRA GÖTALANDS LÄN</t>
        </is>
      </c>
      <c r="G237" t="inlineStr">
        <is>
          <t>VÅRGÅRDA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46300</v>
      </c>
      <c r="F238" t="inlineStr">
        <is>
          <t>VÄSTRA GÖTALANDS LÄN</t>
        </is>
      </c>
      <c r="G238" t="inlineStr">
        <is>
          <t>VÅRGÅRDA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44968</v>
      </c>
      <c r="E239" s="1" t="n">
        <v>46300</v>
      </c>
      <c r="F239" t="inlineStr">
        <is>
          <t>VÄSTRA GÖTALANDS LÄN</t>
        </is>
      </c>
      <c r="G239" t="inlineStr">
        <is>
          <t>VÅRGÅRDA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46300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46300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46300</v>
      </c>
      <c r="F242" t="inlineStr">
        <is>
          <t>VÄSTRA GÖTALANDS LÄN</t>
        </is>
      </c>
      <c r="G242" t="inlineStr">
        <is>
          <t>VÅRGÅRDA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62535-2023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45268</v>
      </c>
      <c r="E243" s="1" t="n">
        <v>46300</v>
      </c>
      <c r="F243" t="inlineStr">
        <is>
          <t>VÄSTRA GÖTALANDS LÄN</t>
        </is>
      </c>
      <c r="G243" t="inlineStr">
        <is>
          <t>VÅRGÅRDA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46300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46300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46300</v>
      </c>
      <c r="F246" t="inlineStr">
        <is>
          <t>VÄSTRA GÖTALANDS LÄN</t>
        </is>
      </c>
      <c r="G246" t="inlineStr">
        <is>
          <t>VÅRGÅRDA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64386-2021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44511</v>
      </c>
      <c r="E247" s="1" t="n">
        <v>46300</v>
      </c>
      <c r="F247" t="inlineStr">
        <is>
          <t>VÄSTRA GÖTALANDS LÄN</t>
        </is>
      </c>
      <c r="G247" t="inlineStr">
        <is>
          <t>VÅRGÅRDA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66386-2021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46300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46300</v>
      </c>
      <c r="F249" t="inlineStr">
        <is>
          <t>VÄSTRA GÖTALANDS LÄN</t>
        </is>
      </c>
      <c r="G249" t="inlineStr">
        <is>
          <t>VÅRGÅRDA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29612-2026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46199</v>
      </c>
      <c r="E250" s="1" t="n">
        <v>46300</v>
      </c>
      <c r="F250" t="inlineStr">
        <is>
          <t>VÄSTRA GÖTALANDS LÄN</t>
        </is>
      </c>
      <c r="G250" t="inlineStr">
        <is>
          <t>VÅRGÅRDA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45301</v>
      </c>
      <c r="E251" s="1" t="n">
        <v>46300</v>
      </c>
      <c r="F251" t="inlineStr">
        <is>
          <t>VÄSTRA GÖTALANDS LÄN</t>
        </is>
      </c>
      <c r="G251" t="inlineStr">
        <is>
          <t>VÅRGÅRDA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46300</v>
      </c>
      <c r="F252" t="inlineStr">
        <is>
          <t>VÄSTRA GÖTALANDS LÄN</t>
        </is>
      </c>
      <c r="G252" t="inlineStr">
        <is>
          <t>VÅRGÅRDA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46300</v>
      </c>
      <c r="F253" t="inlineStr">
        <is>
          <t>VÄSTRA GÖTALANDS LÄN</t>
        </is>
      </c>
      <c r="G253" t="inlineStr">
        <is>
          <t>VÅRGÅRDA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46300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46205</v>
      </c>
      <c r="E255" s="1" t="n">
        <v>46300</v>
      </c>
      <c r="F255" t="inlineStr">
        <is>
          <t>VÄSTRA GÖTALANDS LÄN</t>
        </is>
      </c>
      <c r="G255" t="inlineStr">
        <is>
          <t>VÅRGÅRDA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46205</v>
      </c>
      <c r="E256" s="1" t="n">
        <v>46300</v>
      </c>
      <c r="F256" t="inlineStr">
        <is>
          <t>VÄSTRA GÖTALANDS LÄN</t>
        </is>
      </c>
      <c r="G256" t="inlineStr">
        <is>
          <t>VÅRGÅRDA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46300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45906</v>
      </c>
      <c r="E258" s="1" t="n">
        <v>46300</v>
      </c>
      <c r="F258" t="inlineStr">
        <is>
          <t>VÄSTRA GÖTALANDS LÄN</t>
        </is>
      </c>
      <c r="G258" t="inlineStr">
        <is>
          <t>VÅRGÅRDA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46300</v>
      </c>
      <c r="F259" t="inlineStr">
        <is>
          <t>VÄSTRA GÖTALANDS LÄN</t>
        </is>
      </c>
      <c r="G259" t="inlineStr">
        <is>
          <t>VÅRGÅRDA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46300</v>
      </c>
      <c r="F260" t="inlineStr">
        <is>
          <t>VÄSTRA GÖTALANDS LÄN</t>
        </is>
      </c>
      <c r="G260" t="inlineStr">
        <is>
          <t>VÅRGÅRDA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46300</v>
      </c>
      <c r="F261" t="inlineStr">
        <is>
          <t>VÄSTRA GÖTALANDS LÄN</t>
        </is>
      </c>
      <c r="G261" t="inlineStr">
        <is>
          <t>VÅRGÅRDA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46300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45751</v>
      </c>
      <c r="E263" s="1" t="n">
        <v>46300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35075-2026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46259</v>
      </c>
      <c r="E264" s="1" t="n">
        <v>46300</v>
      </c>
      <c r="F264" t="inlineStr">
        <is>
          <t>VÄSTRA GÖTALANDS LÄN</t>
        </is>
      </c>
      <c r="G264" t="inlineStr">
        <is>
          <t>VÅRGÅRDA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46260</v>
      </c>
      <c r="E265" s="1" t="n">
        <v>46300</v>
      </c>
      <c r="F265" t="inlineStr">
        <is>
          <t>VÄSTRA GÖTALANDS LÄN</t>
        </is>
      </c>
      <c r="G265" t="inlineStr">
        <is>
          <t>VÅRGÅRDA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44608</v>
      </c>
      <c r="E266" s="1" t="n">
        <v>46300</v>
      </c>
      <c r="F266" t="inlineStr">
        <is>
          <t>VÄSTRA GÖTALANDS LÄN</t>
        </is>
      </c>
      <c r="G266" t="inlineStr">
        <is>
          <t>VÅRGÅRDA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46300</v>
      </c>
      <c r="F267" t="inlineStr">
        <is>
          <t>VÄSTRA GÖTALANDS LÄN</t>
        </is>
      </c>
      <c r="G267" t="inlineStr">
        <is>
          <t>VÅRGÅRDA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35816-2026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46300</v>
      </c>
      <c r="F268" t="inlineStr">
        <is>
          <t>VÄSTRA GÖTALANDS LÄN</t>
        </is>
      </c>
      <c r="G268" t="inlineStr">
        <is>
          <t>VÅRGÅRDA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46300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46300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46300</v>
      </c>
      <c r="F271" t="inlineStr">
        <is>
          <t>VÄSTRA GÖTALANDS LÄN</t>
        </is>
      </c>
      <c r="G271" t="inlineStr">
        <is>
          <t>VÅRGÅRDA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46300</v>
      </c>
      <c r="F272" t="inlineStr">
        <is>
          <t>VÄSTRA GÖTALANDS LÄN</t>
        </is>
      </c>
      <c r="G272" t="inlineStr">
        <is>
          <t>VÅRGÅRDA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45375</v>
      </c>
      <c r="E273" s="1" t="n">
        <v>46300</v>
      </c>
      <c r="F273" t="inlineStr">
        <is>
          <t>VÄSTRA GÖTALANDS LÄN</t>
        </is>
      </c>
      <c r="G273" t="inlineStr">
        <is>
          <t>VÅRGÅRDA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44910</v>
      </c>
      <c r="E274" s="1" t="n">
        <v>46300</v>
      </c>
      <c r="F274" t="inlineStr">
        <is>
          <t>VÄSTRA GÖTALANDS LÄN</t>
        </is>
      </c>
      <c r="G274" t="inlineStr">
        <is>
          <t>VÅRGÅRDA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46300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46300</v>
      </c>
      <c r="F276" t="inlineStr">
        <is>
          <t>VÄSTRA GÖTALANDS LÄN</t>
        </is>
      </c>
      <c r="G276" t="inlineStr">
        <is>
          <t>VÅRGÅRDA</t>
        </is>
      </c>
      <c r="H276" t="inlineStr">
        <is>
          <t>Allmännings- och besparingsskogar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36421-2026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46269</v>
      </c>
      <c r="E277" s="1" t="n">
        <v>46300</v>
      </c>
      <c r="F277" t="inlineStr">
        <is>
          <t>VÄSTRA GÖTALANDS LÄN</t>
        </is>
      </c>
      <c r="G277" t="inlineStr">
        <is>
          <t>VÅRGÅRDA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46300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44713</v>
      </c>
      <c r="E279" s="1" t="n">
        <v>46300</v>
      </c>
      <c r="F279" t="inlineStr">
        <is>
          <t>VÄSTRA GÖTALANDS LÄN</t>
        </is>
      </c>
      <c r="G279" t="inlineStr">
        <is>
          <t>VÅRGÅRDA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46300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46300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46276</v>
      </c>
      <c r="E282" s="1" t="n">
        <v>46300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46276</v>
      </c>
      <c r="E283" s="1" t="n">
        <v>46300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46300</v>
      </c>
      <c r="F284" t="inlineStr">
        <is>
          <t>VÄSTRA GÖTALANDS LÄN</t>
        </is>
      </c>
      <c r="G284" t="inlineStr">
        <is>
          <t>VÅRGÅRDA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46281</v>
      </c>
      <c r="E285" s="1" t="n">
        <v>46300</v>
      </c>
      <c r="F285" t="inlineStr">
        <is>
          <t>VÄSTRA GÖTALANDS LÄN</t>
        </is>
      </c>
      <c r="G285" t="inlineStr">
        <is>
          <t>VÅRGÅRDA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50053-2024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46300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46300</v>
      </c>
      <c r="F287" t="inlineStr">
        <is>
          <t>VÄSTRA GÖTALANDS LÄN</t>
        </is>
      </c>
      <c r="G287" t="inlineStr">
        <is>
          <t>VÅRGÅRDA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45375</v>
      </c>
      <c r="E288" s="1" t="n">
        <v>46300</v>
      </c>
      <c r="F288" t="inlineStr">
        <is>
          <t>VÄSTRA GÖTALANDS LÄN</t>
        </is>
      </c>
      <c r="G288" t="inlineStr">
        <is>
          <t>VÅRGÅRDA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46300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46300</v>
      </c>
      <c r="F290" t="inlineStr">
        <is>
          <t>VÄSTRA GÖTALANDS LÄN</t>
        </is>
      </c>
      <c r="G290" t="inlineStr">
        <is>
          <t>VÅRGÅRDA</t>
        </is>
      </c>
      <c r="H290" t="inlineStr">
        <is>
          <t>Kyrkan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46300</v>
      </c>
      <c r="F291" t="inlineStr">
        <is>
          <t>VÄSTRA GÖTALANDS LÄN</t>
        </is>
      </c>
      <c r="G291" t="inlineStr">
        <is>
          <t>VÅRGÅRDA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44791</v>
      </c>
      <c r="E292" s="1" t="n">
        <v>46300</v>
      </c>
      <c r="F292" t="inlineStr">
        <is>
          <t>VÄSTRA GÖTALANDS LÄN</t>
        </is>
      </c>
      <c r="G292" t="inlineStr">
        <is>
          <t>VÅRGÅRDA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46300</v>
      </c>
      <c r="F293" t="inlineStr">
        <is>
          <t>VÄSTRA GÖTALANDS LÄN</t>
        </is>
      </c>
      <c r="G293" t="inlineStr">
        <is>
          <t>VÅRGÅRDA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46300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46300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44917</v>
      </c>
      <c r="E296" s="1" t="n">
        <v>46300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46300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46288</v>
      </c>
      <c r="E298" s="1" t="n">
        <v>46300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46300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46300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46300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45350</v>
      </c>
      <c r="E302" s="1" t="n">
        <v>46300</v>
      </c>
      <c r="F302" t="inlineStr">
        <is>
          <t>VÄSTRA GÖTALANDS LÄN</t>
        </is>
      </c>
      <c r="G302" t="inlineStr">
        <is>
          <t>VÅRGÅRDA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46300</v>
      </c>
      <c r="F303" t="inlineStr">
        <is>
          <t>VÄSTRA GÖTALANDS LÄN</t>
        </is>
      </c>
      <c r="G303" t="inlineStr">
        <is>
          <t>VÅRGÅRDA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46300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65946-2021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44517</v>
      </c>
      <c r="E305" s="1" t="n">
        <v>46300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46300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46300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46300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46300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46300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46300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45664</v>
      </c>
      <c r="E312" s="1" t="n">
        <v>46300</v>
      </c>
      <c r="F312" t="inlineStr">
        <is>
          <t>VÄSTRA GÖTALANDS LÄN</t>
        </is>
      </c>
      <c r="G312" t="inlineStr">
        <is>
          <t>VÅRGÅRDA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46300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46252</v>
      </c>
      <c r="E314" s="1" t="n">
        <v>46300</v>
      </c>
      <c r="F314" t="inlineStr">
        <is>
          <t>VÄSTRA GÖTALANDS LÄN</t>
        </is>
      </c>
      <c r="G314" t="inlineStr">
        <is>
          <t>VÅRGÅRDA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46294</v>
      </c>
      <c r="E315" s="1" t="n">
        <v>46300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44655</v>
      </c>
      <c r="E316" s="1" t="n">
        <v>46300</v>
      </c>
      <c r="F316" t="inlineStr">
        <is>
          <t>VÄSTRA GÖTALANDS LÄN</t>
        </is>
      </c>
      <c r="G316" t="inlineStr">
        <is>
          <t>VÅRGÅRDA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54587-2023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45233</v>
      </c>
      <c r="E317" s="1" t="n">
        <v>46300</v>
      </c>
      <c r="F317" t="inlineStr">
        <is>
          <t>VÄSTRA GÖTALANDS LÄN</t>
        </is>
      </c>
      <c r="G317" t="inlineStr">
        <is>
          <t>VÅRGÅRDA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46300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46300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46300</v>
      </c>
      <c r="F320" t="inlineStr">
        <is>
          <t>VÄSTRA GÖTALANDS LÄN</t>
        </is>
      </c>
      <c r="G320" t="inlineStr">
        <is>
          <t>VÅRGÅRDA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46300</v>
      </c>
      <c r="F321" t="inlineStr">
        <is>
          <t>VÄSTRA GÖTALANDS LÄN</t>
        </is>
      </c>
      <c r="G321" t="inlineStr">
        <is>
          <t>VÅRGÅRDA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46296</v>
      </c>
      <c r="E322" s="1" t="n">
        <v>46300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46300</v>
      </c>
      <c r="F323" t="inlineStr">
        <is>
          <t>VÄSTRA GÖTALANDS LÄN</t>
        </is>
      </c>
      <c r="G323" t="inlineStr">
        <is>
          <t>VÅRGÅRDA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46300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46300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46300</v>
      </c>
      <c r="F326" t="inlineStr">
        <is>
          <t>VÄSTRA GÖTALANDS LÄN</t>
        </is>
      </c>
      <c r="G326" t="inlineStr">
        <is>
          <t>VÅRGÅRDA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20475-2023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45057</v>
      </c>
      <c r="E327" s="1" t="n">
        <v>46300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46300</v>
      </c>
      <c r="F328" t="inlineStr">
        <is>
          <t>VÄSTRA GÖTALANDS LÄN</t>
        </is>
      </c>
      <c r="G328" t="inlineStr">
        <is>
          <t>VÅRGÅRDA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46300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38046-2022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46300</v>
      </c>
      <c r="F330" t="inlineStr">
        <is>
          <t>VÄSTRA GÖTALANDS LÄN</t>
        </is>
      </c>
      <c r="G330" t="inlineStr">
        <is>
          <t>VÅRGÅRDA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46300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45491</v>
      </c>
      <c r="E332" s="1" t="n">
        <v>46300</v>
      </c>
      <c r="F332" t="inlineStr">
        <is>
          <t>VÄSTRA GÖTALANDS LÄN</t>
        </is>
      </c>
      <c r="G332" t="inlineStr">
        <is>
          <t>VÅRGÅRDA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46300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45782</v>
      </c>
      <c r="E334" s="1" t="n">
        <v>46300</v>
      </c>
      <c r="F334" t="inlineStr">
        <is>
          <t>VÄSTRA GÖTALANDS LÄN</t>
        </is>
      </c>
      <c r="G334" t="inlineStr">
        <is>
          <t>VÅRGÅRDA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46300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46300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46300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46300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46300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46300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46300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46300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46300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46300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46300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46300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46300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2026-10-05T01:51:27Z</dcterms:created>
  <dcterms:modified xmlns:dcterms="http://purl.org/dc/terms/" xmlns:xsi="http://www.w3.org/2001/XMLSchema-instance" xsi:type="dcterms:W3CDTF">2026-10-05T01:51:28Z</dcterms:modified>
</cp:coreProperties>
</file>