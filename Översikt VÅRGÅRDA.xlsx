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46220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Svinrot</t>
        </is>
      </c>
      <c r="V4">
        <f>HYPERLINK("https://klasma.github.io/Logging_1442/artfynd/A 2412-2026 artfynd.xlsx", "A 2412-2026")</f>
        <v/>
      </c>
      <c r="W4">
        <f>HYPERLINK("https://klasma.github.io/Logging_1442/kartor/A 2412-2026 karta.png", "A 2412-2026")</f>
        <v/>
      </c>
      <c r="Y4">
        <f>HYPERLINK("https://klasma.github.io/Logging_1442/klagomål/A 2412-2026 FSC-klagomål.docx", "A 2412-2026")</f>
        <v/>
      </c>
      <c r="Z4">
        <f>HYPERLINK("https://klasma.github.io/Logging_1442/klagomålsmail/A 2412-2026 FSC-klagomål mail.docx", "A 2412-2026")</f>
        <v/>
      </c>
      <c r="AA4">
        <f>HYPERLINK("https://klasma.github.io/Logging_1442/tillsyn/A 2412-2026 tillsynsbegäran.docx", "A 2412-2026")</f>
        <v/>
      </c>
      <c r="AB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46220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Trana</t>
        </is>
      </c>
      <c r="V5">
        <f>HYPERLINK("https://klasma.github.io/Logging_1442/artfynd/A 43593-2025 artfynd.xlsx", "A 43593-2025")</f>
        <v/>
      </c>
      <c r="W5">
        <f>HYPERLINK("https://klasma.github.io/Logging_1442/kartor/A 43593-2025 karta.png", "A 43593-2025")</f>
        <v/>
      </c>
      <c r="Y5">
        <f>HYPERLINK("https://klasma.github.io/Logging_1442/klagomål/A 43593-2025 FSC-klagomål.docx", "A 43593-2025")</f>
        <v/>
      </c>
      <c r="Z5">
        <f>HYPERLINK("https://klasma.github.io/Logging_1442/klagomålsmail/A 43593-2025 FSC-klagomål mail.docx", "A 43593-2025")</f>
        <v/>
      </c>
      <c r="AA5">
        <f>HYPERLINK("https://klasma.github.io/Logging_1442/tillsyn/A 43593-2025 tillsynsbegäran.docx", "A 43593-2025")</f>
        <v/>
      </c>
      <c r="AB5">
        <f>HYPERLINK("https://klasma.github.io/Logging_1442/tillsynsmail/A 43593-2025 tillsynsbegäran mail.docx", "A 43593-2025")</f>
        <v/>
      </c>
      <c r="AC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46220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Älg</t>
        </is>
      </c>
      <c r="V6">
        <f>HYPERLINK("https://klasma.github.io/Logging_1442/artfynd/A 48955-2025 artfynd.xlsx", "A 48955-2025")</f>
        <v/>
      </c>
      <c r="W6">
        <f>HYPERLINK("https://klasma.github.io/Logging_1442/kartor/A 48955-2025 karta.png", "A 48955-2025")</f>
        <v/>
      </c>
      <c r="Y6">
        <f>HYPERLINK("https://klasma.github.io/Logging_1442/klagomål/A 48955-2025 FSC-klagomål.docx", "A 48955-2025")</f>
        <v/>
      </c>
      <c r="Z6">
        <f>HYPERLINK("https://klasma.github.io/Logging_1442/klagomålsmail/A 48955-2025 FSC-klagomål mail.docx", "A 48955-2025")</f>
        <v/>
      </c>
      <c r="AA6">
        <f>HYPERLINK("https://klasma.github.io/Logging_1442/tillsyn/A 48955-2025 tillsynsbegäran.docx", "A 48955-2025")</f>
        <v/>
      </c>
      <c r="AB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46220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Y7">
        <f>HYPERLINK("https://klasma.github.io/Logging_1442/klagomål/A 48760-2025 FSC-klagomål.docx", "A 48760-2025")</f>
        <v/>
      </c>
      <c r="Z7">
        <f>HYPERLINK("https://klasma.github.io/Logging_1442/klagomålsmail/A 48760-2025 FSC-klagomål mail.docx", "A 48760-2025")</f>
        <v/>
      </c>
      <c r="AA7">
        <f>HYPERLINK("https://klasma.github.io/Logging_1442/tillsyn/A 48760-2025 tillsynsbegäran.docx", "A 48760-2025")</f>
        <v/>
      </c>
      <c r="AB7">
        <f>HYPERLINK("https://klasma.github.io/Logging_1442/tillsynsmail/A 48760-2025 tillsynsbegäran mail.docx", "A 48760-2025")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46220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Stare</t>
        </is>
      </c>
      <c r="V8">
        <f>HYPERLINK("https://klasma.github.io/Logging_1442/artfynd/A 11214-2023 artfynd.xlsx", "A 11214-2023")</f>
        <v/>
      </c>
      <c r="W8">
        <f>HYPERLINK("https://klasma.github.io/Logging_1442/kartor/A 11214-2023 karta.png", "A 11214-2023")</f>
        <v/>
      </c>
      <c r="Y8">
        <f>HYPERLINK("https://klasma.github.io/Logging_1442/klagomål/A 11214-2023 FSC-klagomål.docx", "A 11214-2023")</f>
        <v/>
      </c>
      <c r="Z8">
        <f>HYPERLINK("https://klasma.github.io/Logging_1442/klagomålsmail/A 11214-2023 FSC-klagomål mail.docx", "A 11214-2023")</f>
        <v/>
      </c>
      <c r="AA8">
        <f>HYPERLINK("https://klasma.github.io/Logging_1442/tillsyn/A 11214-2023 tillsynsbegäran.docx", "A 11214-2023")</f>
        <v/>
      </c>
      <c r="AB8">
        <f>HYPERLINK("https://klasma.github.io/Logging_1442/tillsynsmail/A 11214-2023 tillsynsbegäran mail.docx", "A 11214-2023")</f>
        <v/>
      </c>
      <c r="AC8">
        <f>HYPERLINK("https://klasma.github.io/Logging_1442/fåglar/A 11214-2023 prioriterade fågelarter.docx", "A 11214-2023")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46220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HYPERLINK("https://klasma.github.io/Logging_1442/artfynd/A 7533-2026 artfynd.xlsx", "A 7533-2026")</f>
        <v/>
      </c>
      <c r="W9">
        <f>HYPERLINK("https://klasma.github.io/Logging_1442/kartor/A 7533-2026 karta.png", "A 7533-2026")</f>
        <v/>
      </c>
      <c r="Y9">
        <f>HYPERLINK("https://klasma.github.io/Logging_1442/klagomål/A 7533-2026 FSC-klagomål.docx", "A 7533-2026")</f>
        <v/>
      </c>
      <c r="Z9">
        <f>HYPERLINK("https://klasma.github.io/Logging_1442/klagomålsmail/A 7533-2026 FSC-klagomål mail.docx", "A 7533-2026")</f>
        <v/>
      </c>
      <c r="AA9">
        <f>HYPERLINK("https://klasma.github.io/Logging_1442/tillsyn/A 7533-2026 tillsynsbegäran.docx", "A 7533-2026")</f>
        <v/>
      </c>
      <c r="AB9">
        <f>HYPERLINK("https://klasma.github.io/Logging_1442/tillsynsmail/A 7533-2026 tillsynsbegäran mail.docx", "A 7533-2026")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46220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Jungfrulin</t>
        </is>
      </c>
      <c r="V10">
        <f>HYPERLINK("https://klasma.github.io/Logging_1442/artfynd/A 59508-2025 artfynd.xlsx", "A 59508-2025")</f>
        <v/>
      </c>
      <c r="W10">
        <f>HYPERLINK("https://klasma.github.io/Logging_1442/kartor/A 59508-2025 karta.png", "A 59508-2025")</f>
        <v/>
      </c>
      <c r="Y10">
        <f>HYPERLINK("https://klasma.github.io/Logging_1442/klagomål/A 59508-2025 FSC-klagomål.docx", "A 59508-2025")</f>
        <v/>
      </c>
      <c r="Z10">
        <f>HYPERLINK("https://klasma.github.io/Logging_1442/klagomålsmail/A 59508-2025 FSC-klagomål mail.docx", "A 59508-2025")</f>
        <v/>
      </c>
      <c r="AA10">
        <f>HYPERLINK("https://klasma.github.io/Logging_1442/tillsyn/A 59508-2025 tillsynsbegäran.docx", "A 59508-2025")</f>
        <v/>
      </c>
      <c r="AB10">
        <f>HYPERLINK("https://klasma.github.io/Logging_1442/tillsynsmail/A 59508-2025 tillsynsbegäran mail.docx", "A 59508-2025")</f>
        <v/>
      </c>
    </row>
    <row r="11" ht="15" customHeight="1">
      <c r="A11" t="inlineStr">
        <is>
          <t>A 8657-2026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46066</v>
      </c>
      <c r="E11" s="1" t="n">
        <v>46220</v>
      </c>
      <c r="F11" t="inlineStr">
        <is>
          <t>VÄSTRA GÖTALANDS LÄN</t>
        </is>
      </c>
      <c r="G11" t="inlineStr">
        <is>
          <t>VÅRGÅRDA</t>
        </is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HYPERLINK("https://klasma.github.io/Logging_1442/artfynd/A 8657-2026 artfynd.xlsx", "A 8657-2026")</f>
        <v/>
      </c>
      <c r="W11">
        <f>HYPERLINK("https://klasma.github.io/Logging_1442/kartor/A 8657-2026 karta.png", "A 8657-2026")</f>
        <v/>
      </c>
      <c r="Y11">
        <f>HYPERLINK("https://klasma.github.io/Logging_1442/klagomål/A 8657-2026 FSC-klagomål.docx", "A 8657-2026")</f>
        <v/>
      </c>
      <c r="Z11">
        <f>HYPERLINK("https://klasma.github.io/Logging_1442/klagomålsmail/A 8657-2026 FSC-klagomål mail.docx", "A 8657-2026")</f>
        <v/>
      </c>
      <c r="AA11">
        <f>HYPERLINK("https://klasma.github.io/Logging_1442/tillsyn/A 8657-2026 tillsynsbegäran.docx", "A 8657-2026")</f>
        <v/>
      </c>
      <c r="AB11">
        <f>HYPERLINK("https://klasma.github.io/Logging_1442/tillsynsmail/A 8657-2026 tillsynsbegäran mail.docx", "A 8657-2026")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46220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Granspira</t>
        </is>
      </c>
      <c r="V12">
        <f>HYPERLINK("https://klasma.github.io/Logging_1442/artfynd/A 16912-2025 artfynd.xlsx", "A 16912-2025")</f>
        <v/>
      </c>
      <c r="W12">
        <f>HYPERLINK("https://klasma.github.io/Logging_1442/kartor/A 16912-2025 karta.png", "A 16912-2025")</f>
        <v/>
      </c>
      <c r="Y12">
        <f>HYPERLINK("https://klasma.github.io/Logging_1442/klagomål/A 16912-2025 FSC-klagomål.docx", "A 16912-2025")</f>
        <v/>
      </c>
      <c r="Z12">
        <f>HYPERLINK("https://klasma.github.io/Logging_1442/klagomålsmail/A 16912-2025 FSC-klagomål mail.docx", "A 16912-2025")</f>
        <v/>
      </c>
      <c r="AA12">
        <f>HYPERLINK("https://klasma.github.io/Logging_1442/tillsyn/A 16912-2025 tillsynsbegäran.docx", "A 16912-2025")</f>
        <v/>
      </c>
      <c r="AB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46220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Granspira</t>
        </is>
      </c>
      <c r="V13">
        <f>HYPERLINK("https://klasma.github.io/Logging_1442/artfynd/A 16587-2025 artfynd.xlsx", "A 16587-2025")</f>
        <v/>
      </c>
      <c r="W13">
        <f>HYPERLINK("https://klasma.github.io/Logging_1442/kartor/A 16587-2025 karta.png", "A 16587-2025")</f>
        <v/>
      </c>
      <c r="Y13">
        <f>HYPERLINK("https://klasma.github.io/Logging_1442/klagomål/A 16587-2025 FSC-klagomål.docx", "A 16587-2025")</f>
        <v/>
      </c>
      <c r="Z13">
        <f>HYPERLINK("https://klasma.github.io/Logging_1442/klagomålsmail/A 16587-2025 FSC-klagomål mail.docx", "A 16587-2025")</f>
        <v/>
      </c>
      <c r="AA13">
        <f>HYPERLINK("https://klasma.github.io/Logging_1442/tillsyn/A 16587-2025 tillsynsbegäran.docx", "A 16587-2025")</f>
        <v/>
      </c>
      <c r="AB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46220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HYPERLINK("https://klasma.github.io/Logging_1442/artfynd/A 47506-2023 artfynd.xlsx", "A 47506-2023")</f>
        <v/>
      </c>
      <c r="W14">
        <f>HYPERLINK("https://klasma.github.io/Logging_1442/kartor/A 47506-2023 karta.png", "A 47506-2023")</f>
        <v/>
      </c>
      <c r="Y14">
        <f>HYPERLINK("https://klasma.github.io/Logging_1442/klagomål/A 47506-2023 FSC-klagomål.docx", "A 47506-2023")</f>
        <v/>
      </c>
      <c r="Z14">
        <f>HYPERLINK("https://klasma.github.io/Logging_1442/klagomålsmail/A 47506-2023 FSC-klagomål mail.docx", "A 47506-2023")</f>
        <v/>
      </c>
      <c r="AA14">
        <f>HYPERLINK("https://klasma.github.io/Logging_1442/tillsyn/A 47506-2023 tillsynsbegäran.docx", "A 47506-2023")</f>
        <v/>
      </c>
      <c r="AB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46220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Borsttåg</t>
        </is>
      </c>
      <c r="V15">
        <f>HYPERLINK("https://klasma.github.io/Logging_1442/artfynd/A 13991-2023 artfynd.xlsx", "A 13991-2023")</f>
        <v/>
      </c>
      <c r="W15">
        <f>HYPERLINK("https://klasma.github.io/Logging_1442/kartor/A 13991-2023 karta.png", "A 13991-2023")</f>
        <v/>
      </c>
      <c r="Y15">
        <f>HYPERLINK("https://klasma.github.io/Logging_1442/klagomål/A 13991-2023 FSC-klagomål.docx", "A 13991-2023")</f>
        <v/>
      </c>
      <c r="Z15">
        <f>HYPERLINK("https://klasma.github.io/Logging_1442/klagomålsmail/A 13991-2023 FSC-klagomål mail.docx", "A 13991-2023")</f>
        <v/>
      </c>
      <c r="AA15">
        <f>HYPERLINK("https://klasma.github.io/Logging_1442/tillsyn/A 13991-2023 tillsynsbegäran.docx", "A 13991-2023")</f>
        <v/>
      </c>
      <c r="AB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46220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17527-2025 artfynd.xlsx", "A 17527-2025")</f>
        <v/>
      </c>
      <c r="W16">
        <f>HYPERLINK("https://klasma.github.io/Logging_1442/kartor/A 17527-2025 karta.png", "A 17527-2025")</f>
        <v/>
      </c>
      <c r="Y16">
        <f>HYPERLINK("https://klasma.github.io/Logging_1442/klagomål/A 17527-2025 FSC-klagomål.docx", "A 17527-2025")</f>
        <v/>
      </c>
      <c r="Z16">
        <f>HYPERLINK("https://klasma.github.io/Logging_1442/klagomålsmail/A 17527-2025 FSC-klagomål mail.docx", "A 17527-2025")</f>
        <v/>
      </c>
      <c r="AA16">
        <f>HYPERLINK("https://klasma.github.io/Logging_1442/tillsyn/A 17527-2025 tillsynsbegäran.docx", "A 17527-2025")</f>
        <v/>
      </c>
      <c r="AB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46220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Y17">
        <f>HYPERLINK("https://klasma.github.io/Logging_1442/klagomål/A 16590-2025 FSC-klagomål.docx", "A 16590-2025")</f>
        <v/>
      </c>
      <c r="Z17">
        <f>HYPERLINK("https://klasma.github.io/Logging_1442/klagomålsmail/A 16590-2025 FSC-klagomål mail.docx", "A 16590-2025")</f>
        <v/>
      </c>
      <c r="AA17">
        <f>HYPERLINK("https://klasma.github.io/Logging_1442/tillsyn/A 16590-2025 tillsynsbegäran.docx", "A 16590-2025")</f>
        <v/>
      </c>
      <c r="AB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46220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46220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46220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46220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46220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46220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46220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46220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46220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46220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46220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46220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46220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46220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46220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46220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46220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46220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46220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46220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46220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46220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46220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46220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46220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46220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46220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46220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46220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46220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46220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46220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46220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46220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46220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46220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46220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46220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46220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46220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55972-2023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46220</v>
      </c>
      <c r="F61" t="inlineStr">
        <is>
          <t>VÄSTRA GÖTALANDS LÄN</t>
        </is>
      </c>
      <c r="G61" t="inlineStr">
        <is>
          <t>VÅRGÅRDA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54991-2024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45620</v>
      </c>
      <c r="E62" s="1" t="n">
        <v>46220</v>
      </c>
      <c r="F62" t="inlineStr">
        <is>
          <t>VÄSTRA GÖTALANDS LÄN</t>
        </is>
      </c>
      <c r="G62" t="inlineStr">
        <is>
          <t>VÅRGÅRDA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46220</v>
      </c>
      <c r="F63" t="inlineStr">
        <is>
          <t>VÄSTRA GÖTALANDS LÄN</t>
        </is>
      </c>
      <c r="G63" t="inlineStr">
        <is>
          <t>VÅRGÅRDA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9898-2024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45363</v>
      </c>
      <c r="E64" s="1" t="n">
        <v>46220</v>
      </c>
      <c r="F64" t="inlineStr">
        <is>
          <t>VÄSTRA GÖTALANDS LÄN</t>
        </is>
      </c>
      <c r="G64" t="inlineStr">
        <is>
          <t>VÅRGÅRDA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23950-2025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46220</v>
      </c>
      <c r="F65" t="inlineStr">
        <is>
          <t>VÄSTRA GÖTALANDS LÄN</t>
        </is>
      </c>
      <c r="G65" t="inlineStr">
        <is>
          <t>VÅRGÅRDA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46220</v>
      </c>
      <c r="F66" t="inlineStr">
        <is>
          <t>VÄSTRA GÖTALANDS LÄN</t>
        </is>
      </c>
      <c r="G66" t="inlineStr">
        <is>
          <t>VÅRGÅRDA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45309-2024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46220</v>
      </c>
      <c r="F67" t="inlineStr">
        <is>
          <t>VÄSTRA GÖTALANDS LÄN</t>
        </is>
      </c>
      <c r="G67" t="inlineStr">
        <is>
          <t>VÅRGÅRDA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11777-2024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45374</v>
      </c>
      <c r="E68" s="1" t="n">
        <v>46220</v>
      </c>
      <c r="F68" t="inlineStr">
        <is>
          <t>VÄSTRA GÖTALANDS LÄN</t>
        </is>
      </c>
      <c r="G68" t="inlineStr">
        <is>
          <t>VÅRGÅRDA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45375</v>
      </c>
      <c r="E69" s="1" t="n">
        <v>46220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1277-2026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46220</v>
      </c>
      <c r="F70" t="inlineStr">
        <is>
          <t>VÄSTRA GÖTALANDS LÄN</t>
        </is>
      </c>
      <c r="G70" t="inlineStr">
        <is>
          <t>VÅRGÅRDA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46220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45692</v>
      </c>
      <c r="E72" s="1" t="n">
        <v>46220</v>
      </c>
      <c r="F72" t="inlineStr">
        <is>
          <t>VÄSTRA GÖTALANDS LÄN</t>
        </is>
      </c>
      <c r="G72" t="inlineStr">
        <is>
          <t>VÅRGÅRDA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25326-2025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45800</v>
      </c>
      <c r="E73" s="1" t="n">
        <v>46220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46035</v>
      </c>
      <c r="E74" s="1" t="n">
        <v>46220</v>
      </c>
      <c r="F74" t="inlineStr">
        <is>
          <t>VÄSTRA GÖTALANDS LÄN</t>
        </is>
      </c>
      <c r="G74" t="inlineStr">
        <is>
          <t>VÅRGÅRDA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8195-2024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46220</v>
      </c>
      <c r="F75" t="inlineStr">
        <is>
          <t>VÄSTRA GÖTALANDS LÄN</t>
        </is>
      </c>
      <c r="G75" t="inlineStr">
        <is>
          <t>VÅRGÅRDA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46035</v>
      </c>
      <c r="E76" s="1" t="n">
        <v>46220</v>
      </c>
      <c r="F76" t="inlineStr">
        <is>
          <t>VÄSTRA GÖTALANDS LÄN</t>
        </is>
      </c>
      <c r="G76" t="inlineStr">
        <is>
          <t>VÅRGÅRDA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46032</v>
      </c>
      <c r="E77" s="1" t="n">
        <v>46220</v>
      </c>
      <c r="F77" t="inlineStr">
        <is>
          <t>VÄSTRA GÖTALANDS LÄN</t>
        </is>
      </c>
      <c r="G77" t="inlineStr">
        <is>
          <t>VÅRGÅRDA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46220</v>
      </c>
      <c r="F78" t="inlineStr">
        <is>
          <t>VÄSTRA GÖTALANDS LÄN</t>
        </is>
      </c>
      <c r="G78" t="inlineStr">
        <is>
          <t>VÅRGÅRDA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46032</v>
      </c>
      <c r="E79" s="1" t="n">
        <v>46220</v>
      </c>
      <c r="F79" t="inlineStr">
        <is>
          <t>VÄSTRA GÖTALANDS LÄN</t>
        </is>
      </c>
      <c r="G79" t="inlineStr">
        <is>
          <t>VÅRGÅRDA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46220</v>
      </c>
      <c r="F80" t="inlineStr">
        <is>
          <t>VÄSTRA GÖTALANDS LÄN</t>
        </is>
      </c>
      <c r="G80" t="inlineStr">
        <is>
          <t>VÅRGÅRDA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46220</v>
      </c>
      <c r="F81" t="inlineStr">
        <is>
          <t>VÄSTRA GÖTALANDS LÄN</t>
        </is>
      </c>
      <c r="G81" t="inlineStr">
        <is>
          <t>VÅRGÅRDA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1513-2026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46034</v>
      </c>
      <c r="E82" s="1" t="n">
        <v>46220</v>
      </c>
      <c r="F82" t="inlineStr">
        <is>
          <t>VÄSTRA GÖTALANDS LÄN</t>
        </is>
      </c>
      <c r="G82" t="inlineStr">
        <is>
          <t>VÅRGÅRDA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25911-2025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46220</v>
      </c>
      <c r="F83" t="inlineStr">
        <is>
          <t>VÄSTRA GÖTALANDS LÄN</t>
        </is>
      </c>
      <c r="G83" t="inlineStr">
        <is>
          <t>VÅRGÅRDA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46220</v>
      </c>
      <c r="F84" t="inlineStr">
        <is>
          <t>VÄSTRA GÖTALANDS LÄN</t>
        </is>
      </c>
      <c r="G84" t="inlineStr">
        <is>
          <t>VÅRGÅRDA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55630-2025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45972</v>
      </c>
      <c r="E85" s="1" t="n">
        <v>46220</v>
      </c>
      <c r="F85" t="inlineStr">
        <is>
          <t>VÄSTRA GÖTALANDS LÄN</t>
        </is>
      </c>
      <c r="G85" t="inlineStr">
        <is>
          <t>VÅRGÅRDA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59325-2023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45253</v>
      </c>
      <c r="E86" s="1" t="n">
        <v>46220</v>
      </c>
      <c r="F86" t="inlineStr">
        <is>
          <t>VÄSTRA GÖTALANDS LÄN</t>
        </is>
      </c>
      <c r="G86" t="inlineStr">
        <is>
          <t>VÅRGÅRDA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46220</v>
      </c>
      <c r="F87" t="inlineStr">
        <is>
          <t>VÄSTRA GÖTALANDS LÄN</t>
        </is>
      </c>
      <c r="G87" t="inlineStr">
        <is>
          <t>VÅRGÅRDA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39929-2025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45891</v>
      </c>
      <c r="E88" s="1" t="n">
        <v>46220</v>
      </c>
      <c r="F88" t="inlineStr">
        <is>
          <t>VÄSTRA GÖTALANDS LÄN</t>
        </is>
      </c>
      <c r="G88" t="inlineStr">
        <is>
          <t>VÅRGÅRDA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27109-2025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45811</v>
      </c>
      <c r="E89" s="1" t="n">
        <v>46220</v>
      </c>
      <c r="F89" t="inlineStr">
        <is>
          <t>VÄSTRA GÖTALANDS LÄN</t>
        </is>
      </c>
      <c r="G89" t="inlineStr">
        <is>
          <t>VÅRGÅRDA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46220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26964-2025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46220</v>
      </c>
      <c r="F91" t="inlineStr">
        <is>
          <t>VÄSTRA GÖTALANDS LÄN</t>
        </is>
      </c>
      <c r="G91" t="inlineStr">
        <is>
          <t>VÅRGÅRDA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45233</v>
      </c>
      <c r="E92" s="1" t="n">
        <v>46220</v>
      </c>
      <c r="F92" t="inlineStr">
        <is>
          <t>VÄSTRA GÖTALANDS LÄN</t>
        </is>
      </c>
      <c r="G92" t="inlineStr">
        <is>
          <t>VÅRGÅRDA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27227-2025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46220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27249-2025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46220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9633-2024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46220</v>
      </c>
      <c r="F95" t="inlineStr">
        <is>
          <t>VÄSTRA GÖTALANDS LÄN</t>
        </is>
      </c>
      <c r="G95" t="inlineStr">
        <is>
          <t>VÅRGÅRDA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46220</v>
      </c>
      <c r="F96" t="inlineStr">
        <is>
          <t>VÄSTRA GÖTALANDS LÄN</t>
        </is>
      </c>
      <c r="G96" t="inlineStr">
        <is>
          <t>VÅRGÅRDA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28052-2025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46220</v>
      </c>
      <c r="F97" t="inlineStr">
        <is>
          <t>VÄSTRA GÖTALANDS LÄN</t>
        </is>
      </c>
      <c r="G97" t="inlineStr">
        <is>
          <t>VÅRGÅRDA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20275-2025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45774</v>
      </c>
      <c r="E98" s="1" t="n">
        <v>46220</v>
      </c>
      <c r="F98" t="inlineStr">
        <is>
          <t>VÄSTRA GÖTALANDS LÄN</t>
        </is>
      </c>
      <c r="G98" t="inlineStr">
        <is>
          <t>VÅRGÅRDA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45616</v>
      </c>
      <c r="E99" s="1" t="n">
        <v>46220</v>
      </c>
      <c r="F99" t="inlineStr">
        <is>
          <t>VÄSTRA GÖTALANDS LÄN</t>
        </is>
      </c>
      <c r="G99" t="inlineStr">
        <is>
          <t>VÅRGÅRDA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46220</v>
      </c>
      <c r="F100" t="inlineStr">
        <is>
          <t>VÄSTRA GÖTALANDS LÄN</t>
        </is>
      </c>
      <c r="G100" t="inlineStr">
        <is>
          <t>VÅRGÅRDA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27141-2024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46220</v>
      </c>
      <c r="F101" t="inlineStr">
        <is>
          <t>VÄSTRA GÖTALANDS LÄN</t>
        </is>
      </c>
      <c r="G101" t="inlineStr">
        <is>
          <t>VÅRGÅRDA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35055-2025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45852</v>
      </c>
      <c r="E102" s="1" t="n">
        <v>46220</v>
      </c>
      <c r="F102" t="inlineStr">
        <is>
          <t>VÄSTRA GÖTALANDS LÄN</t>
        </is>
      </c>
      <c r="G102" t="inlineStr">
        <is>
          <t>VÅRGÅRDA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46220</v>
      </c>
      <c r="F103" t="inlineStr">
        <is>
          <t>VÄSTRA GÖTALANDS LÄN</t>
        </is>
      </c>
      <c r="G103" t="inlineStr">
        <is>
          <t>VÅRGÅRDA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46220</v>
      </c>
      <c r="F104" t="inlineStr">
        <is>
          <t>VÄSTRA GÖTALANDS LÄN</t>
        </is>
      </c>
      <c r="G104" t="inlineStr">
        <is>
          <t>VÅRGÅRDA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46220</v>
      </c>
      <c r="F105" t="inlineStr">
        <is>
          <t>VÄSTRA GÖTALANDS LÄN</t>
        </is>
      </c>
      <c r="G105" t="inlineStr">
        <is>
          <t>VÅRGÅRDA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42646-2025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45906</v>
      </c>
      <c r="E106" s="1" t="n">
        <v>46220</v>
      </c>
      <c r="F106" t="inlineStr">
        <is>
          <t>VÄSTRA GÖTALANDS LÄN</t>
        </is>
      </c>
      <c r="G106" t="inlineStr">
        <is>
          <t>VÅRGÅRDA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46220</v>
      </c>
      <c r="F107" t="inlineStr">
        <is>
          <t>VÄSTRA GÖTALANDS LÄN</t>
        </is>
      </c>
      <c r="G107" t="inlineStr">
        <is>
          <t>VÅRGÅRDA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46220</v>
      </c>
      <c r="F108" t="inlineStr">
        <is>
          <t>VÄSTRA GÖTALANDS LÄN</t>
        </is>
      </c>
      <c r="G108" t="inlineStr">
        <is>
          <t>VÅRGÅRDA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30079-2025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46220</v>
      </c>
      <c r="F109" t="inlineStr">
        <is>
          <t>VÄSTRA GÖTALANDS LÄN</t>
        </is>
      </c>
      <c r="G109" t="inlineStr">
        <is>
          <t>VÅRGÅRDA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43214-2025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46220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46220</v>
      </c>
      <c r="F111" t="inlineStr">
        <is>
          <t>VÄSTRA GÖTALANDS LÄN</t>
        </is>
      </c>
      <c r="G111" t="inlineStr">
        <is>
          <t>VÅRGÅRDA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43314-2025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46220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46944-2021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46220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37424-2021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44398</v>
      </c>
      <c r="E114" s="1" t="n">
        <v>46220</v>
      </c>
      <c r="F114" t="inlineStr">
        <is>
          <t>VÄSTRA GÖTALANDS LÄN</t>
        </is>
      </c>
      <c r="G114" t="inlineStr">
        <is>
          <t>VÅRGÅRDA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15236-2024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46220</v>
      </c>
      <c r="F115" t="inlineStr">
        <is>
          <t>VÄSTRA GÖTALANDS LÄN</t>
        </is>
      </c>
      <c r="G115" t="inlineStr">
        <is>
          <t>VÅRGÅRDA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46220</v>
      </c>
      <c r="F116" t="inlineStr">
        <is>
          <t>VÄSTRA GÖTALANDS LÄN</t>
        </is>
      </c>
      <c r="G116" t="inlineStr">
        <is>
          <t>VÅRGÅRDA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46220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45853-2025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46220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45920</v>
      </c>
      <c r="E119" s="1" t="n">
        <v>46220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30280-2023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46220</v>
      </c>
      <c r="F120" t="inlineStr">
        <is>
          <t>VÄSTRA GÖTALANDS LÄN</t>
        </is>
      </c>
      <c r="G120" t="inlineStr">
        <is>
          <t>VÅRGÅRDA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46220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46234-2025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46220</v>
      </c>
      <c r="F122" t="inlineStr">
        <is>
          <t>VÄSTRA GÖTALANDS LÄN</t>
        </is>
      </c>
      <c r="G122" t="inlineStr">
        <is>
          <t>VÅRGÅRDA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46237-2025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46220</v>
      </c>
      <c r="F123" t="inlineStr">
        <is>
          <t>VÄSTRA GÖTALANDS LÄN</t>
        </is>
      </c>
      <c r="G123" t="inlineStr">
        <is>
          <t>VÅRGÅRDA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46220</v>
      </c>
      <c r="F124" t="inlineStr">
        <is>
          <t>VÄSTRA GÖTALANDS LÄN</t>
        </is>
      </c>
      <c r="G124" t="inlineStr">
        <is>
          <t>VÅRGÅRDA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46220</v>
      </c>
      <c r="F125" t="inlineStr">
        <is>
          <t>VÄSTRA GÖTALANDS LÄN</t>
        </is>
      </c>
      <c r="G125" t="inlineStr">
        <is>
          <t>VÅRGÅRDA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46220</v>
      </c>
      <c r="F126" t="inlineStr">
        <is>
          <t>VÄSTRA GÖTALANDS LÄN</t>
        </is>
      </c>
      <c r="G126" t="inlineStr">
        <is>
          <t>VÅRGÅRDA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44421-2024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45573</v>
      </c>
      <c r="E127" s="1" t="n">
        <v>46220</v>
      </c>
      <c r="F127" t="inlineStr">
        <is>
          <t>VÄSTRA GÖTALANDS LÄN</t>
        </is>
      </c>
      <c r="G127" t="inlineStr">
        <is>
          <t>VÅRGÅRDA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44431-2023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46220</v>
      </c>
      <c r="F128" t="inlineStr">
        <is>
          <t>VÄSTRA GÖTALANDS LÄN</t>
        </is>
      </c>
      <c r="G128" t="inlineStr">
        <is>
          <t>VÅRGÅRDA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45978-2022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44846</v>
      </c>
      <c r="E129" s="1" t="n">
        <v>46220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54937-2022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46220</v>
      </c>
      <c r="F130" t="inlineStr">
        <is>
          <t>VÄSTRA GÖTALANDS LÄN</t>
        </is>
      </c>
      <c r="G130" t="inlineStr">
        <is>
          <t>VÅRGÅRDA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46220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46833-2025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45927</v>
      </c>
      <c r="E132" s="1" t="n">
        <v>46220</v>
      </c>
      <c r="F132" t="inlineStr">
        <is>
          <t>VÄSTRA GÖTALANDS LÄN</t>
        </is>
      </c>
      <c r="G132" t="inlineStr">
        <is>
          <t>VÅRGÅRDA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35621-2025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45859</v>
      </c>
      <c r="E133" s="1" t="n">
        <v>46220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46220</v>
      </c>
      <c r="F134" t="inlineStr">
        <is>
          <t>VÄSTRA GÖTALANDS LÄN</t>
        </is>
      </c>
      <c r="G134" t="inlineStr">
        <is>
          <t>VÅRGÅRDA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56637-2024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46220</v>
      </c>
      <c r="F135" t="inlineStr">
        <is>
          <t>VÄSTRA GÖTALANDS LÄN</t>
        </is>
      </c>
      <c r="G135" t="inlineStr">
        <is>
          <t>VÅRGÅRDA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48100-2025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46220</v>
      </c>
      <c r="F136" t="inlineStr">
        <is>
          <t>VÄSTRA GÖTALANDS LÄN</t>
        </is>
      </c>
      <c r="G136" t="inlineStr">
        <is>
          <t>VÅRGÅRDA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48082-2025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46220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46220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48080-2025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46220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48081-2025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46220</v>
      </c>
      <c r="F140" t="inlineStr">
        <is>
          <t>VÄSTRA GÖTALANDS LÄN</t>
        </is>
      </c>
      <c r="G140" t="inlineStr">
        <is>
          <t>VÅRGÅRDA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46220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9086-2024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46220</v>
      </c>
      <c r="F142" t="inlineStr">
        <is>
          <t>VÄSTRA GÖTALANDS LÄN</t>
        </is>
      </c>
      <c r="G142" t="inlineStr">
        <is>
          <t>VÅRGÅRDA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9089-2024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46220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20022-2025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46220</v>
      </c>
      <c r="F144" t="inlineStr">
        <is>
          <t>VÄSTRA GÖTALANDS LÄN</t>
        </is>
      </c>
      <c r="G144" t="inlineStr">
        <is>
          <t>VÅRGÅRDA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49431-2025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46220</v>
      </c>
      <c r="F145" t="inlineStr">
        <is>
          <t>VÄSTRA GÖTALANDS LÄN</t>
        </is>
      </c>
      <c r="G145" t="inlineStr">
        <is>
          <t>VÅRGÅRDA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46220</v>
      </c>
      <c r="F146" t="inlineStr">
        <is>
          <t>VÄSTRA GÖTALANDS LÄN</t>
        </is>
      </c>
      <c r="G146" t="inlineStr">
        <is>
          <t>VÅRGÅRDA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36639-2025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46220</v>
      </c>
      <c r="F147" t="inlineStr">
        <is>
          <t>VÄSTRA GÖTALANDS LÄN</t>
        </is>
      </c>
      <c r="G147" t="inlineStr">
        <is>
          <t>VÅRGÅRDA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46220</v>
      </c>
      <c r="F148" t="inlineStr">
        <is>
          <t>VÄSTRA GÖTALANDS LÄN</t>
        </is>
      </c>
      <c r="G148" t="inlineStr">
        <is>
          <t>VÅRGÅRDA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49598-2025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46220</v>
      </c>
      <c r="F149" t="inlineStr">
        <is>
          <t>VÄSTRA GÖTALANDS LÄN</t>
        </is>
      </c>
      <c r="G149" t="inlineStr">
        <is>
          <t>VÅRGÅRDA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46220</v>
      </c>
      <c r="F150" t="inlineStr">
        <is>
          <t>VÄSTRA GÖTALANDS LÄN</t>
        </is>
      </c>
      <c r="G150" t="inlineStr">
        <is>
          <t>VÅRGÅRDA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49855-2025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46220</v>
      </c>
      <c r="F151" t="inlineStr">
        <is>
          <t>VÄSTRA GÖTALANDS LÄN</t>
        </is>
      </c>
      <c r="G151" t="inlineStr">
        <is>
          <t>VÅRGÅRDA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62097-2022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44920</v>
      </c>
      <c r="E152" s="1" t="n">
        <v>46220</v>
      </c>
      <c r="F152" t="inlineStr">
        <is>
          <t>VÄSTRA GÖTALANDS LÄN</t>
        </is>
      </c>
      <c r="G152" t="inlineStr">
        <is>
          <t>VÅRGÅRDA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36974-2024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46220</v>
      </c>
      <c r="F153" t="inlineStr">
        <is>
          <t>VÄSTRA GÖTALANDS LÄN</t>
        </is>
      </c>
      <c r="G153" t="inlineStr">
        <is>
          <t>VÅRGÅRDA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20807-2025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46220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22202-2024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46220</v>
      </c>
      <c r="F155" t="inlineStr">
        <is>
          <t>VÄSTRA GÖTALANDS LÄN</t>
        </is>
      </c>
      <c r="G155" t="inlineStr">
        <is>
          <t>VÅRGÅRDA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46220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Kommuner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9749-2023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46220</v>
      </c>
      <c r="F157" t="inlineStr">
        <is>
          <t>VÄSTRA GÖTALANDS LÄN</t>
        </is>
      </c>
      <c r="G157" t="inlineStr">
        <is>
          <t>VÅRGÅRDA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46220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42552-2024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45565</v>
      </c>
      <c r="E159" s="1" t="n">
        <v>46220</v>
      </c>
      <c r="F159" t="inlineStr">
        <is>
          <t>VÄSTRA GÖTALANDS LÄN</t>
        </is>
      </c>
      <c r="G159" t="inlineStr">
        <is>
          <t>VÅRGÅRDA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26526-2022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46220</v>
      </c>
      <c r="F160" t="inlineStr">
        <is>
          <t>VÄSTRA GÖTALANDS LÄN</t>
        </is>
      </c>
      <c r="G160" t="inlineStr">
        <is>
          <t>VÅRGÅRDA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46220</v>
      </c>
      <c r="F161" t="inlineStr">
        <is>
          <t>VÄSTRA GÖTALANDS LÄN</t>
        </is>
      </c>
      <c r="G161" t="inlineStr">
        <is>
          <t>VÅRGÅRDA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46220</v>
      </c>
      <c r="F162" t="inlineStr">
        <is>
          <t>VÄSTRA GÖTALANDS LÄN</t>
        </is>
      </c>
      <c r="G162" t="inlineStr">
        <is>
          <t>VÅRGÅRDA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46220</v>
      </c>
      <c r="F163" t="inlineStr">
        <is>
          <t>VÄSTRA GÖTALANDS LÄN</t>
        </is>
      </c>
      <c r="G163" t="inlineStr">
        <is>
          <t>VÅRGÅRDA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45968</v>
      </c>
      <c r="E164" s="1" t="n">
        <v>46220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46220</v>
      </c>
      <c r="F165" t="inlineStr">
        <is>
          <t>VÄSTRA GÖTALANDS LÄN</t>
        </is>
      </c>
      <c r="G165" t="inlineStr">
        <is>
          <t>VÅRGÅRDA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46220</v>
      </c>
      <c r="F166" t="inlineStr">
        <is>
          <t>VÄSTRA GÖTALANDS LÄN</t>
        </is>
      </c>
      <c r="G166" t="inlineStr">
        <is>
          <t>VÅRGÅRDA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55992-2025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46220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42330-2023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46220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7535-2026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46220</v>
      </c>
      <c r="F169" t="inlineStr">
        <is>
          <t>VÄSTRA GÖTALANDS LÄN</t>
        </is>
      </c>
      <c r="G169" t="inlineStr">
        <is>
          <t>VÅRGÅRDA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55706-2025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46220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55776-2025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46220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21932-2024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45443</v>
      </c>
      <c r="E172" s="1" t="n">
        <v>46220</v>
      </c>
      <c r="F172" t="inlineStr">
        <is>
          <t>VÄSTRA GÖTALANDS LÄN</t>
        </is>
      </c>
      <c r="G172" t="inlineStr">
        <is>
          <t>VÅRGÅRDA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46220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44936</v>
      </c>
      <c r="E174" s="1" t="n">
        <v>46220</v>
      </c>
      <c r="F174" t="inlineStr">
        <is>
          <t>VÄSTRA GÖTALANDS LÄN</t>
        </is>
      </c>
      <c r="G174" t="inlineStr">
        <is>
          <t>VÅRGÅRDA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46220</v>
      </c>
      <c r="F175" t="inlineStr">
        <is>
          <t>VÄSTRA GÖTALANDS LÄN</t>
        </is>
      </c>
      <c r="G175" t="inlineStr">
        <is>
          <t>VÅRGÅRDA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7529-2026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46220</v>
      </c>
      <c r="F176" t="inlineStr">
        <is>
          <t>VÄSTRA GÖTALANDS LÄN</t>
        </is>
      </c>
      <c r="G176" t="inlineStr">
        <is>
          <t>VÅRGÅRDA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7070-2026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46220</v>
      </c>
      <c r="F177" t="inlineStr">
        <is>
          <t>VÄSTRA GÖTALANDS LÄN</t>
        </is>
      </c>
      <c r="G177" t="inlineStr">
        <is>
          <t>VÅRGÅRDA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57567-2025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46220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46220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58398-2025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46220</v>
      </c>
      <c r="F180" t="inlineStr">
        <is>
          <t>VÄSTRA GÖTALANDS LÄN</t>
        </is>
      </c>
      <c r="G180" t="inlineStr">
        <is>
          <t>VÅRGÅRDA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2917-2023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44943</v>
      </c>
      <c r="E181" s="1" t="n">
        <v>46220</v>
      </c>
      <c r="F181" t="inlineStr">
        <is>
          <t>VÄSTRA GÖTALANDS LÄN</t>
        </is>
      </c>
      <c r="G181" t="inlineStr">
        <is>
          <t>VÅRGÅRDA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58443-2025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46220</v>
      </c>
      <c r="F182" t="inlineStr">
        <is>
          <t>VÄSTRA GÖTALANDS LÄN</t>
        </is>
      </c>
      <c r="G182" t="inlineStr">
        <is>
          <t>VÅRGÅRDA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33939-2023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45134</v>
      </c>
      <c r="E183" s="1" t="n">
        <v>46220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19391-2024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46220</v>
      </c>
      <c r="F184" t="inlineStr">
        <is>
          <t>VÄSTRA GÖTALANDS LÄN</t>
        </is>
      </c>
      <c r="G184" t="inlineStr">
        <is>
          <t>VÅRGÅRDA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19394-2024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45429</v>
      </c>
      <c r="E185" s="1" t="n">
        <v>46220</v>
      </c>
      <c r="F185" t="inlineStr">
        <is>
          <t>VÄSTRA GÖTALANDS LÄN</t>
        </is>
      </c>
      <c r="G185" t="inlineStr">
        <is>
          <t>VÅRGÅRDA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59309-2025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46220</v>
      </c>
      <c r="F186" t="inlineStr">
        <is>
          <t>VÄSTRA GÖTALANDS LÄN</t>
        </is>
      </c>
      <c r="G186" t="inlineStr">
        <is>
          <t>VÅRGÅRDA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59156-2025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46220</v>
      </c>
      <c r="F187" t="inlineStr">
        <is>
          <t>VÄSTRA GÖTALANDS LÄN</t>
        </is>
      </c>
      <c r="G187" t="inlineStr">
        <is>
          <t>VÅRGÅRDA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59317-2025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46220</v>
      </c>
      <c r="F188" t="inlineStr">
        <is>
          <t>VÄSTRA GÖTALANDS LÄN</t>
        </is>
      </c>
      <c r="G188" t="inlineStr">
        <is>
          <t>VÅRGÅRDA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59042-2025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46220</v>
      </c>
      <c r="F189" t="inlineStr">
        <is>
          <t>VÄSTRA GÖTALANDS LÄN</t>
        </is>
      </c>
      <c r="G189" t="inlineStr">
        <is>
          <t>VÅRGÅRDA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59381-2022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44905</v>
      </c>
      <c r="E190" s="1" t="n">
        <v>46220</v>
      </c>
      <c r="F190" t="inlineStr">
        <is>
          <t>VÄSTRA GÖTALANDS LÄN</t>
        </is>
      </c>
      <c r="G190" t="inlineStr">
        <is>
          <t>VÅRGÅRDA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20169-2025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46220</v>
      </c>
      <c r="F191" t="inlineStr">
        <is>
          <t>VÄSTRA GÖTALANDS LÄN</t>
        </is>
      </c>
      <c r="G191" t="inlineStr">
        <is>
          <t>VÅRGÅRDA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17199-2025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46220</v>
      </c>
      <c r="F192" t="inlineStr">
        <is>
          <t>VÄSTRA GÖTALANDS LÄN</t>
        </is>
      </c>
      <c r="G192" t="inlineStr">
        <is>
          <t>VÅRGÅRDA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8372-2026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46220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46220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Övriga statliga verk och myndigheter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46220</v>
      </c>
      <c r="F195" t="inlineStr">
        <is>
          <t>VÄSTRA GÖTALANDS LÄN</t>
        </is>
      </c>
      <c r="G195" t="inlineStr">
        <is>
          <t>VÅRGÅRDA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46220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10586-2024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45366</v>
      </c>
      <c r="E197" s="1" t="n">
        <v>46220</v>
      </c>
      <c r="F197" t="inlineStr">
        <is>
          <t>VÄSTRA GÖTALANDS LÄN</t>
        </is>
      </c>
      <c r="G197" t="inlineStr">
        <is>
          <t>VÅRGÅRDA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60975-2025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46220</v>
      </c>
      <c r="F198" t="inlineStr">
        <is>
          <t>VÄSTRA GÖTALANDS LÄN</t>
        </is>
      </c>
      <c r="G198" t="inlineStr">
        <is>
          <t>VÅRGÅRDA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60973-2025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46220</v>
      </c>
      <c r="F199" t="inlineStr">
        <is>
          <t>VÄSTRA GÖTALANDS LÄN</t>
        </is>
      </c>
      <c r="G199" t="inlineStr">
        <is>
          <t>VÅRGÅRDA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60981-2025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46220</v>
      </c>
      <c r="F200" t="inlineStr">
        <is>
          <t>VÄSTRA GÖTALANDS LÄN</t>
        </is>
      </c>
      <c r="G200" t="inlineStr">
        <is>
          <t>VÅRGÅRDA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29092-2023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45105</v>
      </c>
      <c r="E201" s="1" t="n">
        <v>46220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48595-2021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44452</v>
      </c>
      <c r="E202" s="1" t="n">
        <v>46220</v>
      </c>
      <c r="F202" t="inlineStr">
        <is>
          <t>VÄSTRA GÖTALANDS LÄN</t>
        </is>
      </c>
      <c r="G202" t="inlineStr">
        <is>
          <t>VÅRGÅRDA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46220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8659-2026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46220</v>
      </c>
      <c r="F204" t="inlineStr">
        <is>
          <t>VÄSTRA GÖTALANDS LÄN</t>
        </is>
      </c>
      <c r="G204" t="inlineStr">
        <is>
          <t>VÅRGÅRDA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9261-2026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46070</v>
      </c>
      <c r="E205" s="1" t="n">
        <v>46220</v>
      </c>
      <c r="F205" t="inlineStr">
        <is>
          <t>VÄSTRA GÖTALANDS LÄN</t>
        </is>
      </c>
      <c r="G205" t="inlineStr">
        <is>
          <t>VÅRGÅRDA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24611-2023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46220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62148-2022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44922</v>
      </c>
      <c r="E207" s="1" t="n">
        <v>46220</v>
      </c>
      <c r="F207" t="inlineStr">
        <is>
          <t>VÄSTRA GÖTALANDS LÄN</t>
        </is>
      </c>
      <c r="G207" t="inlineStr">
        <is>
          <t>VÅRGÅRDA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9305-2026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46070</v>
      </c>
      <c r="E208" s="1" t="n">
        <v>46220</v>
      </c>
      <c r="F208" t="inlineStr">
        <is>
          <t>VÄSTRA GÖTALANDS LÄN</t>
        </is>
      </c>
      <c r="G208" t="inlineStr">
        <is>
          <t>VÅRGÅRDA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9297-2026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46070</v>
      </c>
      <c r="E209" s="1" t="n">
        <v>46220</v>
      </c>
      <c r="F209" t="inlineStr">
        <is>
          <t>VÄSTRA GÖTALANDS LÄN</t>
        </is>
      </c>
      <c r="G209" t="inlineStr">
        <is>
          <t>VÅRGÅRDA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9301-2026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46070</v>
      </c>
      <c r="E210" s="1" t="n">
        <v>46220</v>
      </c>
      <c r="F210" t="inlineStr">
        <is>
          <t>VÄSTRA GÖTALANDS LÄN</t>
        </is>
      </c>
      <c r="G210" t="inlineStr">
        <is>
          <t>VÅRGÅRDA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46220</v>
      </c>
      <c r="F211" t="inlineStr">
        <is>
          <t>VÄSTRA GÖTALANDS LÄN</t>
        </is>
      </c>
      <c r="G211" t="inlineStr">
        <is>
          <t>VÅRGÅRDA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46220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15421-2024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45401</v>
      </c>
      <c r="E213" s="1" t="n">
        <v>46220</v>
      </c>
      <c r="F213" t="inlineStr">
        <is>
          <t>VÄSTRA GÖTALANDS LÄN</t>
        </is>
      </c>
      <c r="G213" t="inlineStr">
        <is>
          <t>VÅRGÅRDA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46220</v>
      </c>
      <c r="F214" t="inlineStr">
        <is>
          <t>VÄSTRA GÖTALANDS LÄN</t>
        </is>
      </c>
      <c r="G214" t="inlineStr">
        <is>
          <t>VÅRGÅRDA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57860-2023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46220</v>
      </c>
      <c r="F215" t="inlineStr">
        <is>
          <t>VÄSTRA GÖTALANDS LÄN</t>
        </is>
      </c>
      <c r="G215" t="inlineStr">
        <is>
          <t>VÅRGÅRDA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46220</v>
      </c>
      <c r="F216" t="inlineStr">
        <is>
          <t>VÄSTRA GÖTALANDS LÄN</t>
        </is>
      </c>
      <c r="G216" t="inlineStr">
        <is>
          <t>VÅRGÅRDA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45703</v>
      </c>
      <c r="E217" s="1" t="n">
        <v>46220</v>
      </c>
      <c r="F217" t="inlineStr">
        <is>
          <t>VÄSTRA GÖTALANDS LÄN</t>
        </is>
      </c>
      <c r="G217" t="inlineStr">
        <is>
          <t>VÅRGÅRDA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9642-2025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46220</v>
      </c>
      <c r="F218" t="inlineStr">
        <is>
          <t>VÄSTRA GÖTALANDS LÄN</t>
        </is>
      </c>
      <c r="G218" t="inlineStr">
        <is>
          <t>VÅRGÅRDA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7680-2025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46220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46220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46220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14789-2024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45397</v>
      </c>
      <c r="E222" s="1" t="n">
        <v>46220</v>
      </c>
      <c r="F222" t="inlineStr">
        <is>
          <t>VÄSTRA GÖTALANDS LÄN</t>
        </is>
      </c>
      <c r="G222" t="inlineStr">
        <is>
          <t>VÅRGÅRDA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46220</v>
      </c>
      <c r="F223" t="inlineStr">
        <is>
          <t>VÄSTRA GÖTALANDS LÄN</t>
        </is>
      </c>
      <c r="G223" t="inlineStr">
        <is>
          <t>VÅRGÅRDA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11869-2026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46220</v>
      </c>
      <c r="F224" t="inlineStr">
        <is>
          <t>VÄSTRA GÖTALANDS LÄN</t>
        </is>
      </c>
      <c r="G224" t="inlineStr">
        <is>
          <t>VÅRGÅRDA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49751-2023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46220</v>
      </c>
      <c r="F225" t="inlineStr">
        <is>
          <t>VÄSTRA GÖTALANDS LÄN</t>
        </is>
      </c>
      <c r="G225" t="inlineStr">
        <is>
          <t>VÅRGÅRDA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12665-2026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46220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Sveaskog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46220</v>
      </c>
      <c r="F227" t="inlineStr">
        <is>
          <t>VÄSTRA GÖTALANDS LÄN</t>
        </is>
      </c>
      <c r="G227" t="inlineStr">
        <is>
          <t>VÅRGÅRDA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13100-2026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46093</v>
      </c>
      <c r="E228" s="1" t="n">
        <v>46220</v>
      </c>
      <c r="F228" t="inlineStr">
        <is>
          <t>VÄSTRA GÖTALANDS LÄN</t>
        </is>
      </c>
      <c r="G228" t="inlineStr">
        <is>
          <t>VÅRGÅRDA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57902-2022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46220</v>
      </c>
      <c r="F229" t="inlineStr">
        <is>
          <t>VÄSTRA GÖTALANDS LÄN</t>
        </is>
      </c>
      <c r="G229" t="inlineStr">
        <is>
          <t>VÅRGÅRDA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30674-2023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46220</v>
      </c>
      <c r="F230" t="inlineStr">
        <is>
          <t>VÄSTRA GÖTALANDS LÄN</t>
        </is>
      </c>
      <c r="G230" t="inlineStr">
        <is>
          <t>VÅRGÅRDA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44950</v>
      </c>
      <c r="E231" s="1" t="n">
        <v>46220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46220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15380-2026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46220</v>
      </c>
      <c r="F233" t="inlineStr">
        <is>
          <t>VÄSTRA GÖTALANDS LÄN</t>
        </is>
      </c>
      <c r="G233" t="inlineStr">
        <is>
          <t>VÅRGÅRDA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16169-2024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46220</v>
      </c>
      <c r="F234" t="inlineStr">
        <is>
          <t>VÄSTRA GÖTALANDS LÄN</t>
        </is>
      </c>
      <c r="G234" t="inlineStr">
        <is>
          <t>VÅRGÅRDA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17057-2026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46220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17058-2026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46220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50958-2023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46220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Allmännings- och besparingsskogar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46220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46220</v>
      </c>
      <c r="F239" t="inlineStr">
        <is>
          <t>VÄSTRA GÖTALANDS LÄN</t>
        </is>
      </c>
      <c r="G239" t="inlineStr">
        <is>
          <t>VÅRGÅRDA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46220</v>
      </c>
      <c r="F240" t="inlineStr">
        <is>
          <t>VÄSTRA GÖTALANDS LÄN</t>
        </is>
      </c>
      <c r="G240" t="inlineStr">
        <is>
          <t>VÅRGÅRDA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46220</v>
      </c>
      <c r="F241" t="inlineStr">
        <is>
          <t>VÄSTRA GÖTALANDS LÄN</t>
        </is>
      </c>
      <c r="G241" t="inlineStr">
        <is>
          <t>VÅRGÅRDA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17983-2026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46220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46220</v>
      </c>
      <c r="F243" t="inlineStr">
        <is>
          <t>VÄSTRA GÖTALANDS LÄN</t>
        </is>
      </c>
      <c r="G243" t="inlineStr">
        <is>
          <t>VÅRGÅRDA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18249-2026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46220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7047-2023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44968</v>
      </c>
      <c r="E245" s="1" t="n">
        <v>46220</v>
      </c>
      <c r="F245" t="inlineStr">
        <is>
          <t>VÄSTRA GÖTALANDS LÄN</t>
        </is>
      </c>
      <c r="G245" t="inlineStr">
        <is>
          <t>VÅRGÅRDA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46220</v>
      </c>
      <c r="F246" t="inlineStr">
        <is>
          <t>VÄSTRA GÖTALANDS LÄN</t>
        </is>
      </c>
      <c r="G246" t="inlineStr">
        <is>
          <t>VÅRGÅRDA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46220</v>
      </c>
      <c r="F247" t="inlineStr">
        <is>
          <t>VÄSTRA GÖTALANDS LÄN</t>
        </is>
      </c>
      <c r="G247" t="inlineStr">
        <is>
          <t>VÅRGÅRDA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18461-2026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46220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62535-2023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45268</v>
      </c>
      <c r="E249" s="1" t="n">
        <v>46220</v>
      </c>
      <c r="F249" t="inlineStr">
        <is>
          <t>VÄSTRA GÖTALANDS LÄN</t>
        </is>
      </c>
      <c r="G249" t="inlineStr">
        <is>
          <t>VÅRGÅRDA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19293-2026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46220</v>
      </c>
      <c r="F250" t="inlineStr">
        <is>
          <t>VÄSTRA GÖTALANDS LÄN</t>
        </is>
      </c>
      <c r="G250" t="inlineStr">
        <is>
          <t>VÅRGÅRDA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19513-2026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46220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19794-2026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46220</v>
      </c>
      <c r="F252" t="inlineStr">
        <is>
          <t>VÄSTRA GÖTALANDS LÄN</t>
        </is>
      </c>
      <c r="G252" t="inlineStr">
        <is>
          <t>VÅRGÅRDA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19511-2026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46220</v>
      </c>
      <c r="F253" t="inlineStr">
        <is>
          <t>VÄSTRA GÖTALANDS LÄN</t>
        </is>
      </c>
      <c r="G253" t="inlineStr">
        <is>
          <t>VÅRGÅRDA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46220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41590-2025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46220</v>
      </c>
      <c r="F255" t="inlineStr">
        <is>
          <t>VÄSTRA GÖTALANDS LÄN</t>
        </is>
      </c>
      <c r="G255" t="inlineStr">
        <is>
          <t>VÅRGÅRDA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46220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44669-2023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46220</v>
      </c>
      <c r="F257" t="inlineStr">
        <is>
          <t>VÄSTRA GÖTALANDS LÄN</t>
        </is>
      </c>
      <c r="G257" t="inlineStr">
        <is>
          <t>VÅRGÅRDA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64386-2021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44511</v>
      </c>
      <c r="E258" s="1" t="n">
        <v>46220</v>
      </c>
      <c r="F258" t="inlineStr">
        <is>
          <t>VÄSTRA GÖTALANDS LÄN</t>
        </is>
      </c>
      <c r="G258" t="inlineStr">
        <is>
          <t>VÅRGÅRDA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66386-2021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44518</v>
      </c>
      <c r="E259" s="1" t="n">
        <v>46220</v>
      </c>
      <c r="F259" t="inlineStr">
        <is>
          <t>VÄSTRA GÖTALANDS LÄN</t>
        </is>
      </c>
      <c r="G259" t="inlineStr">
        <is>
          <t>VÅRGÅRDA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17201-2025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45756</v>
      </c>
      <c r="E260" s="1" t="n">
        <v>46220</v>
      </c>
      <c r="F260" t="inlineStr">
        <is>
          <t>VÄSTRA GÖTALANDS LÄN</t>
        </is>
      </c>
      <c r="G260" t="inlineStr">
        <is>
          <t>VÅRGÅRDA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61969-2022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46220</v>
      </c>
      <c r="F261" t="inlineStr">
        <is>
          <t>VÄSTRA GÖTALANDS LÄN</t>
        </is>
      </c>
      <c r="G261" t="inlineStr">
        <is>
          <t>VÅRGÅRDA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46220</v>
      </c>
      <c r="F262" t="inlineStr">
        <is>
          <t>VÄSTRA GÖTALANDS LÄN</t>
        </is>
      </c>
      <c r="G262" t="inlineStr">
        <is>
          <t>VÅRGÅRDA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1005-2024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45301</v>
      </c>
      <c r="E263" s="1" t="n">
        <v>46220</v>
      </c>
      <c r="F263" t="inlineStr">
        <is>
          <t>VÄSTRA GÖTALANDS LÄN</t>
        </is>
      </c>
      <c r="G263" t="inlineStr">
        <is>
          <t>VÅRGÅRDA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45327</v>
      </c>
      <c r="E264" s="1" t="n">
        <v>46220</v>
      </c>
      <c r="F264" t="inlineStr">
        <is>
          <t>VÄSTRA GÖTALANDS LÄN</t>
        </is>
      </c>
      <c r="G264" t="inlineStr">
        <is>
          <t>VÅRGÅRDA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8456-2024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45354</v>
      </c>
      <c r="E265" s="1" t="n">
        <v>46220</v>
      </c>
      <c r="F265" t="inlineStr">
        <is>
          <t>VÄSTRA GÖTALANDS LÄN</t>
        </is>
      </c>
      <c r="G265" t="inlineStr">
        <is>
          <t>VÅRGÅRDA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59684-2022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46220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22386-2024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45446</v>
      </c>
      <c r="E267" s="1" t="n">
        <v>46220</v>
      </c>
      <c r="F267" t="inlineStr">
        <is>
          <t>VÄSTRA GÖTALANDS LÄN</t>
        </is>
      </c>
      <c r="G267" t="inlineStr">
        <is>
          <t>VÅRGÅRDA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46220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46220</v>
      </c>
      <c r="F269" t="inlineStr">
        <is>
          <t>VÄSTRA GÖTALANDS LÄN</t>
        </is>
      </c>
      <c r="G269" t="inlineStr">
        <is>
          <t>VÅRGÅRDA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57921-2022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46220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25875-2026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46220</v>
      </c>
      <c r="F271" t="inlineStr">
        <is>
          <t>VÄSTRA GÖTALANDS LÄN</t>
        </is>
      </c>
      <c r="G271" t="inlineStr">
        <is>
          <t>VÅRGÅRDA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21232-2023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46220</v>
      </c>
      <c r="F272" t="inlineStr">
        <is>
          <t>VÄSTRA GÖTALANDS LÄN</t>
        </is>
      </c>
      <c r="G272" t="inlineStr">
        <is>
          <t>VÅRGÅRDA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16281-2025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46220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16283-2025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46220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7734-2022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46220</v>
      </c>
      <c r="F275" t="inlineStr">
        <is>
          <t>VÄSTRA GÖTALANDS LÄN</t>
        </is>
      </c>
      <c r="G275" t="inlineStr">
        <is>
          <t>VÅRGÅRDA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20806-2023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46220</v>
      </c>
      <c r="F276" t="inlineStr">
        <is>
          <t>VÄSTRA GÖTALANDS LÄN</t>
        </is>
      </c>
      <c r="G276" t="inlineStr">
        <is>
          <t>VÅRGÅRDA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54097-2024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46220</v>
      </c>
      <c r="F277" t="inlineStr">
        <is>
          <t>VÄSTRA GÖTALANDS LÄN</t>
        </is>
      </c>
      <c r="G277" t="inlineStr">
        <is>
          <t>VÅRGÅRDA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59225-2023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46220</v>
      </c>
      <c r="F278" t="inlineStr">
        <is>
          <t>VÄSTRA GÖTALANDS LÄN</t>
        </is>
      </c>
      <c r="G278" t="inlineStr">
        <is>
          <t>VÅRGÅRDA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9863-2024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46220</v>
      </c>
      <c r="F279" t="inlineStr">
        <is>
          <t>VÄSTRA GÖTALANDS LÄN</t>
        </is>
      </c>
      <c r="G279" t="inlineStr">
        <is>
          <t>VÅRGÅRDA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46220</v>
      </c>
      <c r="F280" t="inlineStr">
        <is>
          <t>VÄSTRA GÖTALANDS LÄN</t>
        </is>
      </c>
      <c r="G280" t="inlineStr">
        <is>
          <t>VÅRGÅRDA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11793-2024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45375</v>
      </c>
      <c r="E281" s="1" t="n">
        <v>46220</v>
      </c>
      <c r="F281" t="inlineStr">
        <is>
          <t>VÄSTRA GÖTALANDS LÄN</t>
        </is>
      </c>
      <c r="G281" t="inlineStr">
        <is>
          <t>VÅRGÅRDA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60380-2022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46220</v>
      </c>
      <c r="F282" t="inlineStr">
        <is>
          <t>VÄSTRA GÖTALANDS LÄN</t>
        </is>
      </c>
      <c r="G282" t="inlineStr">
        <is>
          <t>VÅRGÅRDA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8983-2024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45356</v>
      </c>
      <c r="E283" s="1" t="n">
        <v>46220</v>
      </c>
      <c r="F283" t="inlineStr">
        <is>
          <t>VÄSTRA GÖTALANDS LÄN</t>
        </is>
      </c>
      <c r="G283" t="inlineStr">
        <is>
          <t>VÅRGÅRDA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44568</v>
      </c>
      <c r="E284" s="1" t="n">
        <v>46220</v>
      </c>
      <c r="F284" t="inlineStr">
        <is>
          <t>VÄSTRA GÖTALANDS LÄN</t>
        </is>
      </c>
      <c r="G284" t="inlineStr">
        <is>
          <t>VÅRGÅRDA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46220</v>
      </c>
      <c r="F285" t="inlineStr">
        <is>
          <t>VÄSTRA GÖTALANDS LÄN</t>
        </is>
      </c>
      <c r="G285" t="inlineStr">
        <is>
          <t>VÅRGÅRDA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50945-2023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46220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Allmännings- och besparingsskogar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16121-2024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45406</v>
      </c>
      <c r="E287" s="1" t="n">
        <v>46220</v>
      </c>
      <c r="F287" t="inlineStr">
        <is>
          <t>VÄSTRA GÖTALANDS LÄN</t>
        </is>
      </c>
      <c r="G287" t="inlineStr">
        <is>
          <t>VÅRGÅRDA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44713</v>
      </c>
      <c r="E288" s="1" t="n">
        <v>46220</v>
      </c>
      <c r="F288" t="inlineStr">
        <is>
          <t>VÄSTRA GÖTALANDS LÄN</t>
        </is>
      </c>
      <c r="G288" t="inlineStr">
        <is>
          <t>VÅRGÅRDA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22517-2022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46220</v>
      </c>
      <c r="F289" t="inlineStr">
        <is>
          <t>VÄSTRA GÖTALANDS LÄN</t>
        </is>
      </c>
      <c r="G289" t="inlineStr">
        <is>
          <t>VÅRGÅRDA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46108-2021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46220</v>
      </c>
      <c r="F290" t="inlineStr">
        <is>
          <t>VÄSTRA GÖTALANDS LÄN</t>
        </is>
      </c>
      <c r="G290" t="inlineStr">
        <is>
          <t>VÅRGÅRDA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39000-2023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46220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55240-2023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46220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50053-2024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46220</v>
      </c>
      <c r="F293" t="inlineStr">
        <is>
          <t>VÄSTRA GÖTALANDS LÄN</t>
        </is>
      </c>
      <c r="G293" t="inlineStr">
        <is>
          <t>VÅRGÅRDA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58074-2022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46220</v>
      </c>
      <c r="F294" t="inlineStr">
        <is>
          <t>VÄSTRA GÖTALANDS LÄN</t>
        </is>
      </c>
      <c r="G294" t="inlineStr">
        <is>
          <t>VÅRGÅRDA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11797-2024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45375</v>
      </c>
      <c r="E295" s="1" t="n">
        <v>46220</v>
      </c>
      <c r="F295" t="inlineStr">
        <is>
          <t>VÄSTRA GÖTALANDS LÄN</t>
        </is>
      </c>
      <c r="G295" t="inlineStr">
        <is>
          <t>VÅRGÅRDA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53213-2024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45612</v>
      </c>
      <c r="E296" s="1" t="n">
        <v>46220</v>
      </c>
      <c r="F296" t="inlineStr">
        <is>
          <t>VÄSTRA GÖTALANDS LÄN</t>
        </is>
      </c>
      <c r="G296" t="inlineStr">
        <is>
          <t>VÅRGÅRDA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46747-2023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46220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49455-2023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46220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34133-2022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44791</v>
      </c>
      <c r="E299" s="1" t="n">
        <v>46220</v>
      </c>
      <c r="F299" t="inlineStr">
        <is>
          <t>VÄSTRA GÖTALANDS LÄN</t>
        </is>
      </c>
      <c r="G299" t="inlineStr">
        <is>
          <t>VÅRGÅRDA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44668-2023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46220</v>
      </c>
      <c r="F300" t="inlineStr">
        <is>
          <t>VÄSTRA GÖTALANDS LÄN</t>
        </is>
      </c>
      <c r="G300" t="inlineStr">
        <is>
          <t>VÅRGÅRDA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47583-2024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46220</v>
      </c>
      <c r="F301" t="inlineStr">
        <is>
          <t>VÄSTRA GÖTALANDS LÄN</t>
        </is>
      </c>
      <c r="G301" t="inlineStr">
        <is>
          <t>VÅRGÅRDA</t>
        </is>
      </c>
      <c r="H301" t="inlineStr">
        <is>
          <t>Kyrkan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28482-2026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46220</v>
      </c>
      <c r="F302" t="inlineStr">
        <is>
          <t>VÄSTRA GÖTALANDS LÄN</t>
        </is>
      </c>
      <c r="G302" t="inlineStr">
        <is>
          <t>VÅRGÅRDA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61904-2022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46220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61907-2022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46220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Kyrkan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46220</v>
      </c>
      <c r="F305" t="inlineStr">
        <is>
          <t>VÄSTRA GÖTALANDS LÄN</t>
        </is>
      </c>
      <c r="G305" t="inlineStr">
        <is>
          <t>VÅRGÅRDA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7962-2024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46220</v>
      </c>
      <c r="F306" t="inlineStr">
        <is>
          <t>VÄSTRA GÖTALANDS LÄN</t>
        </is>
      </c>
      <c r="G306" t="inlineStr">
        <is>
          <t>VÅRGÅRDA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65946-2021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44517</v>
      </c>
      <c r="E307" s="1" t="n">
        <v>46220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48718-2023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46220</v>
      </c>
      <c r="F308" t="inlineStr">
        <is>
          <t>VÄSTRA GÖTALANDS LÄN</t>
        </is>
      </c>
      <c r="G308" t="inlineStr">
        <is>
          <t>VÅRGÅRDA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46220</v>
      </c>
      <c r="F309" t="inlineStr">
        <is>
          <t>VÄSTRA GÖTALANDS LÄN</t>
        </is>
      </c>
      <c r="G309" t="inlineStr">
        <is>
          <t>VÅRGÅRDA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50160-2022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46220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29612-2026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46199</v>
      </c>
      <c r="E311" s="1" t="n">
        <v>46220</v>
      </c>
      <c r="F311" t="inlineStr">
        <is>
          <t>VÄSTRA GÖTALANDS LÄN</t>
        </is>
      </c>
      <c r="G311" t="inlineStr">
        <is>
          <t>VÅRGÅRDA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14655-2022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44655</v>
      </c>
      <c r="E312" s="1" t="n">
        <v>46220</v>
      </c>
      <c r="F312" t="inlineStr">
        <is>
          <t>VÄSTRA GÖTALANDS LÄN</t>
        </is>
      </c>
      <c r="G312" t="inlineStr">
        <is>
          <t>VÅRGÅRDA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54587-2023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45233</v>
      </c>
      <c r="E313" s="1" t="n">
        <v>46220</v>
      </c>
      <c r="F313" t="inlineStr">
        <is>
          <t>VÄSTRA GÖTALANDS LÄN</t>
        </is>
      </c>
      <c r="G313" t="inlineStr">
        <is>
          <t>VÅRGÅRDA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45751</v>
      </c>
      <c r="E314" s="1" t="n">
        <v>46220</v>
      </c>
      <c r="F314" t="inlineStr">
        <is>
          <t>VÄSTRA GÖTALANDS LÄN</t>
        </is>
      </c>
      <c r="G314" t="inlineStr">
        <is>
          <t>VÅRGÅRDA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29918-2026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46220</v>
      </c>
      <c r="F315" t="inlineStr">
        <is>
          <t>VÄSTRA GÖTALANDS LÄN</t>
        </is>
      </c>
      <c r="G315" t="inlineStr">
        <is>
          <t>VÅRGÅRDA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29926-2026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46205</v>
      </c>
      <c r="E316" s="1" t="n">
        <v>46220</v>
      </c>
      <c r="F316" t="inlineStr">
        <is>
          <t>VÄSTRA GÖTALANDS LÄN</t>
        </is>
      </c>
      <c r="G316" t="inlineStr">
        <is>
          <t>VÅRGÅRDA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46220</v>
      </c>
      <c r="F317" t="inlineStr">
        <is>
          <t>VÄSTRA GÖTALANDS LÄN</t>
        </is>
      </c>
      <c r="G317" t="inlineStr">
        <is>
          <t>VÅRGÅRDA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44744-2023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45190</v>
      </c>
      <c r="E318" s="1" t="n">
        <v>46220</v>
      </c>
      <c r="F318" t="inlineStr">
        <is>
          <t>VÄSTRA GÖTALANDS LÄN</t>
        </is>
      </c>
      <c r="G318" t="inlineStr">
        <is>
          <t>VÅRGÅRDA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63073-2023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46220</v>
      </c>
      <c r="F319" t="inlineStr">
        <is>
          <t>VÄSTRA GÖTALANDS LÄN</t>
        </is>
      </c>
      <c r="G319" t="inlineStr">
        <is>
          <t>VÅRGÅRDA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56788-2024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46220</v>
      </c>
      <c r="F320" t="inlineStr">
        <is>
          <t>VÄSTRA GÖTALANDS LÄN</t>
        </is>
      </c>
      <c r="G320" t="inlineStr">
        <is>
          <t>VÅRGÅRDA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30671-2026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46211</v>
      </c>
      <c r="E321" s="1" t="n">
        <v>46220</v>
      </c>
      <c r="F321" t="inlineStr">
        <is>
          <t>VÄSTRA GÖTALANDS LÄN</t>
        </is>
      </c>
      <c r="G321" t="inlineStr">
        <is>
          <t>VÅRGÅRDA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24481-2026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46220</v>
      </c>
      <c r="F322" t="inlineStr">
        <is>
          <t>VÄSTRA GÖTALANDS LÄN</t>
        </is>
      </c>
      <c r="G322" t="inlineStr">
        <is>
          <t>VÅRGÅRDA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46220</v>
      </c>
      <c r="F323" t="inlineStr">
        <is>
          <t>VÄSTRA GÖTALANDS LÄN</t>
        </is>
      </c>
      <c r="G323" t="inlineStr">
        <is>
          <t>VÅRGÅRDA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24760-2026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46220</v>
      </c>
      <c r="F324" t="inlineStr">
        <is>
          <t>VÄSTRA GÖTALANDS LÄN</t>
        </is>
      </c>
      <c r="G324" t="inlineStr">
        <is>
          <t>VÅRGÅRDA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24782-2026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46220</v>
      </c>
      <c r="F325" t="inlineStr">
        <is>
          <t>VÄSTRA GÖTALANDS LÄN</t>
        </is>
      </c>
      <c r="G325" t="inlineStr">
        <is>
          <t>VÅRGÅRDA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24777-2026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46220</v>
      </c>
      <c r="F326" t="inlineStr">
        <is>
          <t>VÄSTRA GÖTALANDS LÄN</t>
        </is>
      </c>
      <c r="G326" t="inlineStr">
        <is>
          <t>VÅRGÅRDA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37653-2023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46220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19319-2025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45769</v>
      </c>
      <c r="E328" s="1" t="n">
        <v>46220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20475-2023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45057</v>
      </c>
      <c r="E329" s="1" t="n">
        <v>46220</v>
      </c>
      <c r="F329" t="inlineStr">
        <is>
          <t>VÄSTRA GÖTALANDS LÄN</t>
        </is>
      </c>
      <c r="G329" t="inlineStr">
        <is>
          <t>VÅRGÅRDA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12990-2024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45385</v>
      </c>
      <c r="E330" s="1" t="n">
        <v>46220</v>
      </c>
      <c r="F330" t="inlineStr">
        <is>
          <t>VÄSTRA GÖTALANDS LÄN</t>
        </is>
      </c>
      <c r="G330" t="inlineStr">
        <is>
          <t>VÅRGÅRDA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57167-2022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44895</v>
      </c>
      <c r="E331" s="1" t="n">
        <v>46220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38046-2022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46220</v>
      </c>
      <c r="F332" t="inlineStr">
        <is>
          <t>VÄSTRA GÖTALANDS LÄN</t>
        </is>
      </c>
      <c r="G332" t="inlineStr">
        <is>
          <t>VÅRGÅRDA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46736-2023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46220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30362-2024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45491</v>
      </c>
      <c r="E334" s="1" t="n">
        <v>46220</v>
      </c>
      <c r="F334" t="inlineStr">
        <is>
          <t>VÄSTRA GÖTALANDS LÄN</t>
        </is>
      </c>
      <c r="G334" t="inlineStr">
        <is>
          <t>VÅRGÅRDA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46732-2023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46220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21535-2025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45782</v>
      </c>
      <c r="E336" s="1" t="n">
        <v>46220</v>
      </c>
      <c r="F336" t="inlineStr">
        <is>
          <t>VÄSTRA GÖTALANDS LÄN</t>
        </is>
      </c>
      <c r="G336" t="inlineStr">
        <is>
          <t>VÅRGÅRDA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1329-2022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44628</v>
      </c>
      <c r="E337" s="1" t="n">
        <v>46220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24.6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5908-2021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44440</v>
      </c>
      <c r="E338" s="1" t="n">
        <v>46220</v>
      </c>
      <c r="F338" t="inlineStr">
        <is>
          <t>VÄSTRA GÖTALANDS LÄN</t>
        </is>
      </c>
      <c r="G338" t="inlineStr">
        <is>
          <t>VÅRGÅRDA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5513-2021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44432</v>
      </c>
      <c r="E339" s="1" t="n">
        <v>46220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Allmännings- och besparingsskogar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204-2024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46220</v>
      </c>
      <c r="F340" t="inlineStr">
        <is>
          <t>VÄSTRA GÖTALANDS LÄN</t>
        </is>
      </c>
      <c r="G340" t="inlineStr">
        <is>
          <t>VÅRGÅRDA</t>
        </is>
      </c>
      <c r="I340" t="n">
        <v>34.3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234-2024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45317</v>
      </c>
      <c r="E341" s="1" t="n">
        <v>46220</v>
      </c>
      <c r="F341" t="inlineStr">
        <is>
          <t>VÄSTRA GÖTALANDS LÄN</t>
        </is>
      </c>
      <c r="G341" t="inlineStr">
        <is>
          <t>VÅRGÅRDA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506-2024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45345</v>
      </c>
      <c r="E342" s="1" t="n">
        <v>46220</v>
      </c>
      <c r="F342" t="inlineStr">
        <is>
          <t>VÄSTRA GÖTALANDS LÄN</t>
        </is>
      </c>
      <c r="G342" t="inlineStr">
        <is>
          <t>VÅRGÅRDA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509-2024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45345</v>
      </c>
      <c r="E343" s="1" t="n">
        <v>46220</v>
      </c>
      <c r="F343" t="inlineStr">
        <is>
          <t>VÄSTRA GÖTALANDS LÄN</t>
        </is>
      </c>
      <c r="G343" t="inlineStr">
        <is>
          <t>VÅRGÅRDA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4693-2024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45606</v>
      </c>
      <c r="E344" s="1" t="n">
        <v>46220</v>
      </c>
      <c r="F344" t="inlineStr">
        <is>
          <t>VÄSTRA GÖTALANDS LÄN</t>
        </is>
      </c>
      <c r="G344" t="inlineStr">
        <is>
          <t>VÅRGÅRDA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858-2024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45373</v>
      </c>
      <c r="E345" s="1" t="n">
        <v>46220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17.4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3932-2024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45565</v>
      </c>
      <c r="E346" s="1" t="n">
        <v>46220</v>
      </c>
      <c r="F346" t="inlineStr">
        <is>
          <t>VÄSTRA GÖTALANDS LÄN</t>
        </is>
      </c>
      <c r="G346" t="inlineStr">
        <is>
          <t>VÅRGÅRDA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2696-2024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45482</v>
      </c>
      <c r="E347" s="1" t="n">
        <v>46220</v>
      </c>
      <c r="F347" t="inlineStr">
        <is>
          <t>VÄSTRA GÖTALANDS LÄN</t>
        </is>
      </c>
      <c r="G347" t="inlineStr">
        <is>
          <t>VÅRGÅRDA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275-2024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45323</v>
      </c>
      <c r="E348" s="1" t="n">
        <v>46220</v>
      </c>
      <c r="F348" t="inlineStr">
        <is>
          <t>VÄSTRA GÖTALANDS LÄN</t>
        </is>
      </c>
      <c r="G348" t="inlineStr">
        <is>
          <t>VÅRGÅRDA</t>
        </is>
      </c>
      <c r="I348" t="n">
        <v>27.3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514-2026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46077</v>
      </c>
      <c r="E349" s="1" t="n">
        <v>46220</v>
      </c>
      <c r="F349" t="inlineStr">
        <is>
          <t>VÄSTRA GÖTALANDS LÄN</t>
        </is>
      </c>
      <c r="G349" t="inlineStr">
        <is>
          <t>VÅRGÅRDA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735-2026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46094</v>
      </c>
      <c r="E350" s="1" t="n">
        <v>46220</v>
      </c>
      <c r="F350" t="inlineStr">
        <is>
          <t>VÄSTRA GÖTALANDS LÄN</t>
        </is>
      </c>
      <c r="G350" t="inlineStr">
        <is>
          <t>VÅRGÅRDA</t>
        </is>
      </c>
      <c r="H350" t="inlineStr">
        <is>
          <t>Kyrkan</t>
        </is>
      </c>
      <c r="I350" t="n">
        <v>20.6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>
      <c r="A351" t="inlineStr">
        <is>
          <t>S 729-2026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46093</v>
      </c>
      <c r="E351" s="1" t="n">
        <v>46220</v>
      </c>
      <c r="F351" t="inlineStr">
        <is>
          <t>VÄSTRA GÖTALANDS LÄN</t>
        </is>
      </c>
      <c r="G351" t="inlineStr">
        <is>
          <t>VÅRGÅRDA</t>
        </is>
      </c>
      <c r="I351" t="n">
        <v>37.5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2026-07-17T01:41:51Z</dcterms:created>
  <dcterms:modified xmlns:dcterms="http://purl.org/dc/terms/" xmlns:xsi="http://www.w3.org/2001/XMLSchema-instance" xsi:type="dcterms:W3CDTF">2026-07-17T01:41:51Z</dcterms:modified>
</cp:coreProperties>
</file>